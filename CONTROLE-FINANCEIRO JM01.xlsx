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https://d.docs.live.net/87fcb81212ac8e55/FINANCIAS/"/>
    </mc:Choice>
  </mc:AlternateContent>
  <xr:revisionPtr revIDLastSave="0" documentId="8_{6FCA445D-4162-1C43-84D8-B3BDB2BA31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CONTROLE LANCAMENTOS" sheetId="7" r:id="rId2"/>
    <sheet name="PATRIMÔNIO" sheetId="3" r:id="rId3"/>
    <sheet name="APOSENTADORIA" sheetId="6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7" l="1"/>
  <c r="N28" i="7"/>
  <c r="N29" i="7"/>
  <c r="N30" i="7"/>
  <c r="N31" i="7"/>
  <c r="N32" i="7"/>
  <c r="U52" i="7"/>
  <c r="G38" i="6"/>
  <c r="E50" i="6"/>
  <c r="H46" i="6"/>
  <c r="J46" i="6"/>
  <c r="H45" i="6"/>
  <c r="J45" i="6"/>
  <c r="H42" i="6"/>
  <c r="H44" i="6"/>
  <c r="H23" i="6"/>
  <c r="K6" i="3"/>
  <c r="K5" i="3"/>
  <c r="K4" i="3"/>
  <c r="K3" i="3"/>
  <c r="O2" i="3"/>
  <c r="O11" i="3"/>
  <c r="K2" i="3"/>
  <c r="F5" i="1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D32" i="3"/>
  <c r="D31" i="3"/>
  <c r="D30" i="3"/>
  <c r="F30" i="3"/>
  <c r="D29" i="3"/>
  <c r="F29" i="3"/>
  <c r="F31" i="3"/>
  <c r="F32" i="3"/>
  <c r="C17" i="1"/>
  <c r="C28" i="3"/>
  <c r="C16" i="1"/>
  <c r="G28" i="3"/>
  <c r="C20" i="1"/>
  <c r="H47" i="6"/>
  <c r="J47" i="6"/>
  <c r="H48" i="6"/>
  <c r="J48" i="6"/>
  <c r="J44" i="6"/>
  <c r="O4" i="3"/>
  <c r="D28" i="3"/>
  <c r="C18" i="1"/>
  <c r="F28" i="3"/>
  <c r="C19" i="1"/>
  <c r="H29" i="1"/>
  <c r="E2" i="3"/>
  <c r="Z52" i="7"/>
  <c r="AF52" i="7"/>
  <c r="Q52" i="7"/>
  <c r="N50" i="7"/>
  <c r="N49" i="7"/>
  <c r="K49" i="7"/>
  <c r="N48" i="7"/>
  <c r="K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26" i="7"/>
  <c r="N25" i="7"/>
  <c r="D25" i="7"/>
  <c r="N24" i="7"/>
  <c r="N23" i="7"/>
  <c r="N22" i="7"/>
  <c r="N21" i="7"/>
  <c r="N20" i="7"/>
  <c r="N19" i="7"/>
  <c r="N18" i="7"/>
  <c r="N17" i="7"/>
  <c r="N16" i="7"/>
  <c r="F22" i="1"/>
  <c r="F21" i="1"/>
  <c r="F20" i="1"/>
  <c r="F19" i="1"/>
  <c r="F18" i="1"/>
  <c r="F17" i="1"/>
  <c r="F16" i="1"/>
  <c r="F15" i="1"/>
  <c r="C15" i="1"/>
  <c r="F14" i="1"/>
  <c r="H8" i="1"/>
  <c r="E8" i="1"/>
  <c r="N11" i="3"/>
  <c r="O5" i="3"/>
  <c r="K50" i="7"/>
  <c r="D31" i="7"/>
  <c r="C14" i="1"/>
  <c r="B8" i="1"/>
  <c r="D29" i="7"/>
</calcChain>
</file>

<file path=xl/sharedStrings.xml><?xml version="1.0" encoding="utf-8"?>
<sst xmlns="http://schemas.openxmlformats.org/spreadsheetml/2006/main" count="407" uniqueCount="259">
  <si>
    <t>CONTROLE DE GASTO FINANCEIRO</t>
  </si>
  <si>
    <t>PAINEL PESSOAL • GASTOS • INVESTIMENTOS • META DOS R$ 100 MIL</t>
  </si>
  <si>
    <t>MÊS DE ANÁLISE</t>
  </si>
  <si>
    <t>RENDA MENSAL</t>
  </si>
  <si>
    <t>DISPONÍVEL PARA USAR NO MÊS</t>
  </si>
  <si>
    <t>QUANTIDADE DE DESPESAS</t>
  </si>
  <si>
    <t>PATRIMÔNIO TOTAL</t>
  </si>
  <si>
    <t>RESUMO DO MÊS</t>
  </si>
  <si>
    <t>ONDE SEU DINHEIRO ESTÁ INDO</t>
  </si>
  <si>
    <t>CATEGORIA</t>
  </si>
  <si>
    <t>VALOR</t>
  </si>
  <si>
    <t>DESPESAS DO MÊS</t>
  </si>
  <si>
    <t>Moradia</t>
  </si>
  <si>
    <t>INVESTIMENTOS DO MÊS</t>
  </si>
  <si>
    <t>Alimentação</t>
  </si>
  <si>
    <t>PATRIMÔNIO INVESTIDO</t>
  </si>
  <si>
    <t>Transporte</t>
  </si>
  <si>
    <t>META R$ 100 MIL</t>
  </si>
  <si>
    <t>Contas</t>
  </si>
  <si>
    <t>FALTA PARA A META</t>
  </si>
  <si>
    <t>Saúde</t>
  </si>
  <si>
    <t>META CONCLUÍDA</t>
  </si>
  <si>
    <t>Lazer</t>
  </si>
  <si>
    <t>MENSAL NECESSÁRIO</t>
  </si>
  <si>
    <t>Compras</t>
  </si>
  <si>
    <t>Assinaturas</t>
  </si>
  <si>
    <t>Outros</t>
  </si>
  <si>
    <t>ACESSO RÁPIDO</t>
  </si>
  <si>
    <t>→ PATRIMÔNIO</t>
  </si>
  <si>
    <t>→ APOSENTADORIA</t>
  </si>
  <si>
    <t>Casais Inteligentes Enriquecem Juntos é um livro escrito por Gustavo Cerbasi que aborda a importância do planejamento financeiro para casais. A mensagem central do livro é que o sucesso financeiro em um relacionamento depende de uma comunicação clara, objetivos comuns e planejamento conjunto. Aqui estão alguns pontos chave:</t>
  </si>
  <si>
    <t>1. **Comunicação Financeira:** Cerbasi enfatiza a importância de conversar abertamente sobre dinheiro. Casais devem discutir suas expectativas, sonhos e preocupações financeiras para evitar mal-entendidos e conflitos.</t>
  </si>
  <si>
    <t>2. **Planejamento Conjunto:** É crucial que ambos os parceiros estejam envolvidos no planejamento financeiro. Isso inclui a criação de um orçamento, a definição de metas de curto e longo prazo e a revisão regular das finanças.</t>
  </si>
  <si>
    <t>3. **Investimentos e Poupança:** O livro aconselha sobre como investir de maneira inteligente e diversificada. Cerbasi explica a importância de poupar e investir cedo, aproveitando o poder dos juros compostos.</t>
  </si>
  <si>
    <t>4. **Educação Financeira:** Cerbasi destaca a importância da educação financeira contínua. Casais devem se informar sobre finanças pessoais para tomar decisões mais informadas e eficazes.</t>
  </si>
  <si>
    <t>5. **Adaptação às Mudanças:** O livro também fala sobre a necessidade de adaptação a diferentes fases da vida e como essas mudanças podem afetar o planejamento financeiro do casal.</t>
  </si>
  <si>
    <t>Atualizada em 20/06/2024</t>
  </si>
  <si>
    <t>Ganho 10/2026</t>
  </si>
  <si>
    <t>Gastos 10/2025</t>
  </si>
  <si>
    <t>ENTRADAS</t>
  </si>
  <si>
    <t>DESPESAS</t>
  </si>
  <si>
    <t xml:space="preserve">Janeiro </t>
  </si>
  <si>
    <t xml:space="preserve">Fevereiro </t>
  </si>
  <si>
    <t xml:space="preserve">Março </t>
  </si>
  <si>
    <t>DESCRIÇÃO</t>
  </si>
  <si>
    <t>DATA</t>
  </si>
  <si>
    <t>TIPO</t>
  </si>
  <si>
    <t>FORMA DE PAGAMENTO</t>
  </si>
  <si>
    <t>STATUS</t>
  </si>
  <si>
    <t>Total:</t>
  </si>
  <si>
    <t>Dia de Reis(6)</t>
  </si>
  <si>
    <t>Aniversário de mãe (28)</t>
  </si>
  <si>
    <t>Aniversário de pai (1)</t>
  </si>
  <si>
    <t>Carnaval (13)</t>
  </si>
  <si>
    <t>Aniversário da minha namorada (15)</t>
  </si>
  <si>
    <t xml:space="preserve">Páscoa </t>
  </si>
  <si>
    <t>SALÁRIO LÍQUIDO DELE [JANDERSON  ]</t>
  </si>
  <si>
    <t>ESSENCIAIS</t>
  </si>
  <si>
    <t>OUTRAS ENTRADAS 01  (AVON, UBER...)</t>
  </si>
  <si>
    <t>MORADIA (ALUGUEL/FINANCIAMENTO)</t>
  </si>
  <si>
    <t>DESPESA</t>
  </si>
  <si>
    <t>PENDENTE</t>
  </si>
  <si>
    <t>Sexta-feira santa</t>
  </si>
  <si>
    <t>OUTRAS ENTRADAS 02  (COMISSÕES, BÔNUS...)</t>
  </si>
  <si>
    <t>CONDOMÍNIO</t>
  </si>
  <si>
    <t>OUTRAS ENTRADAS 03  (ALUGUEL, AULAS...)</t>
  </si>
  <si>
    <t>SUPERMERCADO (VALOR MÉDIO)</t>
  </si>
  <si>
    <t>SALÁRIO LÍQUIDO DELA [MYLLENE ]</t>
  </si>
  <si>
    <t>ÁGUA (INCLUSO NO CONDOMÍNIO?)</t>
  </si>
  <si>
    <t>LUZ (INCLUSO NO CONDOMÍNIO?)</t>
  </si>
  <si>
    <t>GÁS (INCLUSO NO CONDOMÍNIO?)</t>
  </si>
  <si>
    <t>IPTU (INCLUSO NO CONDOMÍNIO?)</t>
  </si>
  <si>
    <t>Abril</t>
  </si>
  <si>
    <t>Maio</t>
  </si>
  <si>
    <t xml:space="preserve">Junho </t>
  </si>
  <si>
    <t>TOTAL DE ENTRADAS</t>
  </si>
  <si>
    <t>PLANO DE SAÚDE (INCLUSO NOS BENEFÍCIOS DO TRABALHO?)</t>
  </si>
  <si>
    <t>1 ano de namoro</t>
  </si>
  <si>
    <t>Aniversário da Sogra(2)</t>
  </si>
  <si>
    <t>São João(24)</t>
  </si>
  <si>
    <t>SEGURO DE VIDA (INCLUSO NOS BENEFÍCIOS DO TRABALHO?)</t>
  </si>
  <si>
    <t>OUTRAS DESPESAS ESSENCIAIS 01</t>
  </si>
  <si>
    <t>Dia dos namorados (12)</t>
  </si>
  <si>
    <t>OUTRAS DESPESAS ESSENCIAIS 02</t>
  </si>
  <si>
    <t>SE SUA PLANILHA ESTIVER CORRETA,  TODO MÊS VAI TE SOBRAR ESTE VALOR PARA INVESTIR:</t>
  </si>
  <si>
    <t>OUTRAS DESPESAS ESSENCIAIS 03</t>
  </si>
  <si>
    <t>NÃO ESSENCIAIS</t>
  </si>
  <si>
    <t>NESTE CENÁRIO, SUA RESERVA DE EMERGÊNCIA IDEAL SERIA NO VALOR DE:</t>
  </si>
  <si>
    <t>CARTÃO DE CRÉDITO (EVITE USAR!)</t>
  </si>
  <si>
    <t>COMBUSTÍVEL</t>
  </si>
  <si>
    <t>FARMÁCIA</t>
  </si>
  <si>
    <t>GASTOS COM ANIMAIS</t>
  </si>
  <si>
    <t xml:space="preserve">Julho </t>
  </si>
  <si>
    <t xml:space="preserve">Agosto </t>
  </si>
  <si>
    <t xml:space="preserve">Setembro </t>
  </si>
  <si>
    <t>GASTOS IMPREVISTOS (VALOR MÉDIO)</t>
  </si>
  <si>
    <t>Aniversário do sogro</t>
  </si>
  <si>
    <t>GASTOS COM TRANSPORTE (ÔNIBUS/TREM/UBER)</t>
  </si>
  <si>
    <t>GASTOS COM VEÍCULO (CARRO/MOTO/FINANCIAMENTO)</t>
  </si>
  <si>
    <t>INTERNET RESIDENCIAL</t>
  </si>
  <si>
    <t>,</t>
  </si>
  <si>
    <t>NETFLIX/AMAZON/NET</t>
  </si>
  <si>
    <t>PADARIA/FEIRA</t>
  </si>
  <si>
    <t>SAÍDAS/CINEMA/LAZER</t>
  </si>
  <si>
    <t>SALÃO/MANICURE/DEPILAÇÃO</t>
  </si>
  <si>
    <t>TARIFAS BANCÁRIAS (PEÇA ISENÇÃO DESSAS TAXAS NO BANCO!)</t>
  </si>
  <si>
    <t>TELEFONIA/CELULAR</t>
  </si>
  <si>
    <t xml:space="preserve">Outubro </t>
  </si>
  <si>
    <t xml:space="preserve">Novembro </t>
  </si>
  <si>
    <t xml:space="preserve">Dezembro </t>
  </si>
  <si>
    <t>ÓLEO DA MOTO</t>
  </si>
  <si>
    <t>Finado(2)</t>
  </si>
  <si>
    <t>Natal(25)</t>
  </si>
  <si>
    <t xml:space="preserve">Final de anos </t>
  </si>
  <si>
    <t>CORTE DE CABELO</t>
  </si>
  <si>
    <t>OUTRAS DESPESAS 03 (ITENS DIVERSOS)</t>
  </si>
  <si>
    <t>TOTAL DE DESPESAS ESSENCIAIS</t>
  </si>
  <si>
    <t>TOTAL DE DESPESAS NÃO ESSENCIAIS</t>
  </si>
  <si>
    <t>TOTAL GERAL DE DESPESAS</t>
  </si>
  <si>
    <t xml:space="preserve"> </t>
  </si>
  <si>
    <t>Media</t>
  </si>
  <si>
    <t>ATIVO / INVESTIMENTO</t>
  </si>
  <si>
    <t>CLASSE</t>
  </si>
  <si>
    <t>VALOR ATUAL</t>
  </si>
  <si>
    <t>OBSERVAÇÃO</t>
  </si>
  <si>
    <t>GGRC11</t>
  </si>
  <si>
    <t>FIIs</t>
  </si>
  <si>
    <t>Alocado no C6 invest e Na Binance</t>
  </si>
  <si>
    <t xml:space="preserve">K </t>
  </si>
  <si>
    <t>R</t>
  </si>
  <si>
    <t>A</t>
  </si>
  <si>
    <t>K</t>
  </si>
  <si>
    <t>E</t>
  </si>
  <si>
    <t>VALOR APLICADO</t>
  </si>
  <si>
    <t>XPML11</t>
  </si>
  <si>
    <t>caixa</t>
  </si>
  <si>
    <t>reits</t>
  </si>
  <si>
    <t>ações br</t>
  </si>
  <si>
    <t>criptomoedas</t>
  </si>
  <si>
    <t>exterior stocks</t>
  </si>
  <si>
    <t>IDEAL</t>
  </si>
  <si>
    <t>Percentual atual</t>
  </si>
  <si>
    <t>Investimento</t>
  </si>
  <si>
    <t>SALDO BRUTO</t>
  </si>
  <si>
    <t xml:space="preserve">CPTS11 </t>
  </si>
  <si>
    <t>CDB C6 invest</t>
  </si>
  <si>
    <t>TAEE11</t>
  </si>
  <si>
    <t>BTC</t>
  </si>
  <si>
    <t>IVVB11</t>
  </si>
  <si>
    <t>K (22%)</t>
  </si>
  <si>
    <t xml:space="preserve">Ganho de capital </t>
  </si>
  <si>
    <t>GARE11</t>
  </si>
  <si>
    <t xml:space="preserve">KLBN11 </t>
  </si>
  <si>
    <t>ETH</t>
  </si>
  <si>
    <t>NASD11</t>
  </si>
  <si>
    <t>R (25%)</t>
  </si>
  <si>
    <t>VARIAÇÃO</t>
  </si>
  <si>
    <t>VGHF11</t>
  </si>
  <si>
    <t>KLBN4</t>
  </si>
  <si>
    <t>A (25%)</t>
  </si>
  <si>
    <t>NEWL11</t>
  </si>
  <si>
    <t>ITSA4</t>
  </si>
  <si>
    <t>K (3%)</t>
  </si>
  <si>
    <t>PROVENTOS PAGOS</t>
  </si>
  <si>
    <t>HGLG11</t>
  </si>
  <si>
    <t>CMIG4</t>
  </si>
  <si>
    <t>E (25%)</t>
  </si>
  <si>
    <t>Total: </t>
  </si>
  <si>
    <t>BTLG11</t>
  </si>
  <si>
    <t>SAPR4</t>
  </si>
  <si>
    <t>Ações</t>
  </si>
  <si>
    <t xml:space="preserve">BBAS3 </t>
  </si>
  <si>
    <t xml:space="preserve">PERFORMANCE </t>
  </si>
  <si>
    <t>CAGR</t>
  </si>
  <si>
    <t>CXSE3</t>
  </si>
  <si>
    <t>Patrimônio total</t>
  </si>
  <si>
    <t>AURE3</t>
  </si>
  <si>
    <t>Aporte mensal</t>
  </si>
  <si>
    <t>BBSE3</t>
  </si>
  <si>
    <t>Começamos em:</t>
  </si>
  <si>
    <t>21/08/2023</t>
  </si>
  <si>
    <t>Cripto</t>
  </si>
  <si>
    <t>Exterior</t>
  </si>
  <si>
    <t>C6 CDB</t>
  </si>
  <si>
    <t>Renda Fixa</t>
  </si>
  <si>
    <t>META</t>
  </si>
  <si>
    <t>VALOR ALVO</t>
  </si>
  <si>
    <t>FALTA</t>
  </si>
  <si>
    <t>PRAZO</t>
  </si>
  <si>
    <t>% CONCLUÍDO</t>
  </si>
  <si>
    <t>R$ 100 mil investidos até os 24 anos</t>
  </si>
  <si>
    <t>CALCULADORA - ESTIMANDO O PATRIMÔNIO INVESTIDO *</t>
  </si>
  <si>
    <t xml:space="preserve">PREENCHA ABAIXO </t>
  </si>
  <si>
    <t>OBSERVAÇÕES</t>
  </si>
  <si>
    <t>QUAL SUA IDADE HOJE ?</t>
  </si>
  <si>
    <t>~ Só preencha o número</t>
  </si>
  <si>
    <t>COM QUAL IDADE PRETENDE SE APOSENTAR ?</t>
  </si>
  <si>
    <t>~Só preencha o número. Precisa ser maior do que a idade de hoje</t>
  </si>
  <si>
    <t>QUAL O VALOR DO SEU PATRIMÔNIO INVESTIDO HOJE ?</t>
  </si>
  <si>
    <t>- Valor em R$</t>
  </si>
  <si>
    <t>QUAL O VALOR MENSAL QUE DEVERÁ INVESTIR ?</t>
  </si>
  <si>
    <t>QUAL RENTABILIDADE REAL ESPERADA (AO ANO E DESCONTADA A INFLAÇÃO) ?</t>
  </si>
  <si>
    <t>- Valor em percentual, por exemplo, 3%</t>
  </si>
  <si>
    <t>ATENÇÃO: PARA PRESERVAR SEU PODER DE COMPRA</t>
  </si>
  <si>
    <t>VALOR ACUMULADO</t>
  </si>
  <si>
    <t>NO TEMPO, ATUALIZE SEUS APORTES PELA INFLAÇÃO.</t>
  </si>
  <si>
    <t>VALOR ACUMULADO ATÉ A DATA DA APOSENTADORIA💰👉🏽</t>
  </si>
  <si>
    <t>* Preencher apenas as células em amarelo.</t>
  </si>
  <si>
    <t xml:space="preserve">Renda Mensal </t>
  </si>
  <si>
    <t xml:space="preserve">Taxa </t>
  </si>
  <si>
    <t xml:space="preserve">massa crítica </t>
  </si>
  <si>
    <t xml:space="preserve">Massa crítica </t>
  </si>
  <si>
    <t xml:space="preserve">Mês </t>
  </si>
  <si>
    <t xml:space="preserve">Taxa Bruta </t>
  </si>
  <si>
    <t xml:space="preserve">Valor Bruto </t>
  </si>
  <si>
    <t xml:space="preserve">Inflação </t>
  </si>
  <si>
    <t>Valor tirando a inflação</t>
  </si>
  <si>
    <t xml:space="preserve">Valor do reinvestimento da Inflação </t>
  </si>
  <si>
    <t xml:space="preserve">0 cálculo da massa crítica necessária não é complicado. Em primeiro lugar, vocês devem estimar o </t>
  </si>
  <si>
    <t xml:space="preserve">rendimento que seria obtido em uma aplicação financeira segura. No Brasil de hoje (e, provavelmente, </t>
  </si>
  <si>
    <t xml:space="preserve">dos próximos anos), as aplicações financeiras mais seguras, como CDBs e fundos de renda fixa, </t>
  </si>
  <si>
    <t xml:space="preserve">rendem cerca de 0,4% líquido ao mês10, já descontados o imposto de renda e a inflação. Basta dividir </t>
  </si>
  <si>
    <t>a renda desejada pela taxa de juros obtida e terão a meta desejada de massa crítica. No exemplo:</t>
  </si>
  <si>
    <t xml:space="preserve">R$ 3.000,00÷0,004 = R$ 750.000,00 </t>
  </si>
  <si>
    <t xml:space="preserve">Percebam que 0,4% de R$ 750.000,00 é igual a R$ 3.000,00. Como estamos descontando a </t>
  </si>
  <si>
    <t xml:space="preserve">inflação, sempre teremos o valor da poupança atualizado, que vai gerar uma renda equivalente a R$ </t>
  </si>
  <si>
    <t xml:space="preserve">3.000,00. </t>
  </si>
  <si>
    <t xml:space="preserve">Entendam esse raciocínio pelo seguinte exemplo: </t>
  </si>
  <si>
    <t xml:space="preserve">1) R$ 750.000,00, aplicados em um fundo balanceado conservador, renderam 0,6% de juros </t>
  </si>
  <si>
    <t xml:space="preserve">durante o mês, já descontados o imposto de renda e a taxa de administração do banco11. Esse </t>
  </si>
  <si>
    <t xml:space="preserve">rendimento foi então de R$ 4.500,00. </t>
  </si>
  <si>
    <t xml:space="preserve">2) A inflação apurada no mês foi de 0,2%13. Essa inflação deve ser deduzida dos rendimentos </t>
  </si>
  <si>
    <t xml:space="preserve">de 0,6%. Sobra, então, 0,4%, que gerou R$ 3.000,00 durante o mês. Esse é o dinheiro </t>
  </si>
  <si>
    <t xml:space="preserve">necessário parapagar as contas da família no último mês, orçadas em R$ 3.000,00. </t>
  </si>
  <si>
    <t xml:space="preserve">Considerei que a inflação gerará efeitos apenas nas contas domês seguinte, como </t>
  </si>
  <si>
    <t xml:space="preserve">acontece quando se usa cartão de créditoracionalmente. </t>
  </si>
  <si>
    <t xml:space="preserve">3) No mês seguinte, a família precisará de mais dinheiro para pagaras contas, pois a inflação de </t>
  </si>
  <si>
    <t>0,2% faz com que seus gastos cresçam para R$ 3.006,00</t>
  </si>
  <si>
    <t xml:space="preserve">4) Como, dos R$ 4.500,00 de renda, foram sacados apenasR$ 3.000,00, sobraram R$ </t>
  </si>
  <si>
    <t>1.500,00 a mais na aplicação, elevando o saldo no final do mês para R$ 751.500,00.</t>
  </si>
  <si>
    <t xml:space="preserve">5) Se o fundo mantiver o desempenho e a inflação continuar nomesmo patamar, os R$ </t>
  </si>
  <si>
    <t xml:space="preserve">751.500,00 gerarão R$ 4.509,00 de juros(0,4%), dos quais R$ 1.503,00 serão renda líquida </t>
  </si>
  <si>
    <t>(0,6%) e osR$ 2.512,50 restantes serão a parcela equivalente à inflação (0,2%).</t>
  </si>
  <si>
    <t>6) Se apenas os R$ 3.006,00 forem sacados e o raciocínio se mantiver, a renda jamais acabará, estará preservando inclusive diante dos efeitos da inflação.</t>
  </si>
  <si>
    <t>7)0,4%=0,4÷100=0,004</t>
  </si>
  <si>
    <t xml:space="preserve">8) Quando vocês acompanham o desempenho de suas aplicações no extrato do banco, </t>
  </si>
  <si>
    <t xml:space="preserve">a taxa de administração já vem descontada. Os fundos de renda fixa mais eficientes </t>
  </si>
  <si>
    <t xml:space="preserve">chegam a cobrar menos de 0,5% ao ano. Taxas superiores a 1% ao ano justificam-se </t>
  </si>
  <si>
    <t xml:space="preserve">apenas em fundos de renda variável, que exigem trabalho mais intenso de seus gestores. </t>
  </si>
  <si>
    <t xml:space="preserve">9)Sugere-se que o indicador de inflação utilizado seja a própria variação dos gastos </t>
  </si>
  <si>
    <t xml:space="preserve">regulares da família (aqueles que ocorrem todos os meses). Por exemplo: se no mês 1 a </t>
  </si>
  <si>
    <t xml:space="preserve">família gastou R$ 800,00 e no mês 2 os gastos subiram para R$ 816,00 a inflação foi de </t>
  </si>
  <si>
    <t xml:space="preserve">2% (816 ÷ 800 -1). Com esse raciocínio, haverá meses com inflação significativa, mas </t>
  </si>
  <si>
    <t xml:space="preserve">vários outros com inflação igual a zero. </t>
  </si>
  <si>
    <t>PAGO</t>
  </si>
  <si>
    <t>META: alcançar R$1000 de dividendos mensais</t>
  </si>
  <si>
    <t>APOSENTADORIA • LIBERDADE FINANCEIRA</t>
  </si>
  <si>
    <t>Projeção do patrimônio, aportes e renda futura</t>
  </si>
  <si>
    <t>INFORMAÇÕES PARA PREENCHER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</si>
</sst>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R$&quot;#,##0.00;[Red]\-&quot;R$&quot;#,##0.00"/>
    <numFmt numFmtId="164" formatCode="_-&quot;R$&quot;\ * #,##0.00_-;\-&quot;R$&quot;\ * #,##0.00_-;_-&quot;R$&quot;\ * &quot;-&quot;??_-;_-@_-"/>
    <numFmt numFmtId="165" formatCode="[$R$-416]#,##0.00"/>
    <numFmt numFmtId="166" formatCode="&quot;R$&quot;#,##0.00;[Red]&quot;-R$&quot;#,##0.00"/>
    <numFmt numFmtId="167" formatCode="[$R$-416]\ #,##0.00"/>
    <numFmt numFmtId="168" formatCode="0.0%"/>
    <numFmt numFmtId="169" formatCode="\R\$\ #,##0.00"/>
    <numFmt numFmtId="170" formatCode="mmmm/yyyy"/>
    <numFmt numFmtId="171" formatCode="[$R$ -416]#,##0.00"/>
    <numFmt numFmtId="172" formatCode="mmm/d"/>
    <numFmt numFmtId="173" formatCode="_-[$R$-416]* #,##0.00_-;\-[$R$-416]* #,##0.00_-;_-[$R$-416]* &quot;-&quot;??_-;_-@_-"/>
    <numFmt numFmtId="174" formatCode="mm/yyyy"/>
    <numFmt numFmtId="175" formatCode="&quot;R$&quot;\ #,##0.00"/>
  </numFmts>
  <fonts count="67" x14ac:knownFonts="1">
    <font>
      <sz val="10"/>
      <color rgb="FF000000"/>
      <name val="Arial"/>
    </font>
    <font>
      <sz val="10"/>
      <color theme="10"/>
      <name val="Arial"/>
      <family val="2"/>
    </font>
    <font>
      <sz val="10"/>
      <color theme="0"/>
      <name val="Arial"/>
      <family val="2"/>
    </font>
    <font>
      <b/>
      <sz val="10"/>
      <color rgb="FFF5F5F5"/>
      <name val="Arial"/>
      <family val="2"/>
    </font>
    <font>
      <b/>
      <sz val="10"/>
      <color rgb="FF111111"/>
      <name val="Arial"/>
      <family val="2"/>
    </font>
    <font>
      <sz val="10"/>
      <color rgb="FFF5F5F5"/>
      <name val="Arial"/>
      <family val="2"/>
    </font>
    <font>
      <b/>
      <sz val="24"/>
      <color rgb="FFD4AF37"/>
      <name val="Arial"/>
      <family val="2"/>
    </font>
    <font>
      <b/>
      <sz val="10"/>
      <color rgb="FFA7A7AD"/>
      <name val="Arial"/>
      <family val="2"/>
    </font>
    <font>
      <b/>
      <sz val="10"/>
      <color rgb="FFD4AF37"/>
      <name val="Arial"/>
      <family val="2"/>
    </font>
    <font>
      <b/>
      <sz val="10"/>
      <color rgb="FFD4AF37"/>
      <name val="Arial"/>
      <family val="2"/>
    </font>
    <font>
      <b/>
      <sz val="20"/>
      <color rgb="FFF5F5F5"/>
      <name val="Arial"/>
      <family val="2"/>
    </font>
    <font>
      <b/>
      <sz val="14"/>
      <color rgb="FFD4AF37"/>
      <name val="Arial"/>
      <family val="2"/>
    </font>
    <font>
      <b/>
      <sz val="10"/>
      <color rgb="FFA7A7AD"/>
      <name val="Arial"/>
      <family val="2"/>
    </font>
    <font>
      <b/>
      <sz val="13"/>
      <color rgb="FFD4AF37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9"/>
      <color theme="3" tint="0.249977111117893"/>
      <name val="Arial"/>
      <family val="2"/>
    </font>
    <font>
      <b/>
      <sz val="14"/>
      <color theme="2"/>
      <name val="Arial"/>
      <family val="2"/>
    </font>
    <font>
      <b/>
      <sz val="12"/>
      <color theme="0"/>
      <name val="Arial"/>
      <family val="2"/>
    </font>
    <font>
      <sz val="14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10"/>
      <color theme="0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4"/>
      <color theme="0"/>
      <name val="Arial"/>
      <family val="2"/>
    </font>
    <font>
      <b/>
      <sz val="12"/>
      <color theme="2"/>
      <name val="Arial"/>
      <family val="2"/>
    </font>
    <font>
      <sz val="10"/>
      <color rgb="FF000000"/>
      <name val="Arial"/>
      <family val="2"/>
    </font>
    <font>
      <b/>
      <sz val="24"/>
      <color theme="3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F5F5F5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222222"/>
      <name val="Arial"/>
      <family val="2"/>
    </font>
    <font>
      <sz val="10"/>
      <color rgb="FF222222"/>
      <name val="Arial"/>
      <family val="2"/>
    </font>
    <font>
      <b/>
      <u/>
      <sz val="10"/>
      <color rgb="FFFFC00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F2F3F5"/>
      <name val="Arial"/>
      <family val="2"/>
    </font>
    <font>
      <b/>
      <sz val="11"/>
      <color rgb="FF111111"/>
      <name val="Arial"/>
      <family val="2"/>
    </font>
    <font>
      <b/>
      <sz val="10"/>
      <color rgb="FFF0C75E"/>
      <name val="Arial"/>
      <family val="2"/>
    </font>
    <font>
      <b/>
      <sz val="11"/>
      <color rgb="FFF2F3F5"/>
      <name val="Arial"/>
      <family val="2"/>
    </font>
    <font>
      <sz val="12"/>
      <color rgb="FFF2F3F5"/>
      <name val="Arial"/>
      <family val="2"/>
    </font>
    <font>
      <b/>
      <sz val="8"/>
      <color rgb="FFF0C75E"/>
      <name val="Nunito"/>
    </font>
    <font>
      <b/>
      <sz val="11"/>
      <color rgb="FFF2F3F5"/>
      <name val="Nunito"/>
    </font>
    <font>
      <b/>
      <sz val="9"/>
      <color rgb="FFF0C75E"/>
      <name val="Arial"/>
      <family val="2"/>
    </font>
    <font>
      <b/>
      <sz val="12"/>
      <color rgb="FFF0C75E"/>
      <name val="Nunito"/>
    </font>
    <font>
      <b/>
      <sz val="12"/>
      <color rgb="FFF2F3F5"/>
      <name val="Nunito"/>
    </font>
    <font>
      <b/>
      <sz val="10"/>
      <color rgb="FFF0C75E"/>
      <name val="Nunito"/>
    </font>
    <font>
      <sz val="10"/>
      <color rgb="FFF2F3F5"/>
      <name val="Nunito"/>
    </font>
    <font>
      <b/>
      <sz val="10"/>
      <color rgb="FFF2F3F5"/>
      <name val="Arial"/>
      <family val="2"/>
    </font>
    <font>
      <b/>
      <sz val="12"/>
      <color rgb="FFF2F3F5"/>
      <name val="Arial"/>
      <family val="2"/>
    </font>
    <font>
      <b/>
      <sz val="10"/>
      <color rgb="FFF2F3F5"/>
      <name val="Nunito"/>
    </font>
    <font>
      <i/>
      <sz val="10"/>
      <color rgb="FFF2F3F5"/>
      <name val="Arial"/>
      <family val="2"/>
    </font>
    <font>
      <b/>
      <sz val="21"/>
      <color rgb="FFF0C75E"/>
      <name val="Arial"/>
      <family val="2"/>
    </font>
    <font>
      <sz val="11"/>
      <color rgb="FFB7BBC4"/>
      <name val="Arial"/>
      <family val="2"/>
    </font>
    <font>
      <b/>
      <sz val="14"/>
      <color rgb="FFF0C75E"/>
      <name val="Arial"/>
      <family val="2"/>
    </font>
    <font>
      <sz val="10"/>
      <color rgb="FFB7BBC4"/>
      <name val="Arial"/>
      <family val="2"/>
    </font>
    <font>
      <b/>
      <sz val="12"/>
      <color rgb="FFF0C75E"/>
      <name val="Arial"/>
      <family val="2"/>
    </font>
    <font>
      <b/>
      <sz val="10"/>
      <color rgb="FFB7BBC4"/>
      <name val="Arial"/>
      <family val="2"/>
    </font>
    <font>
      <b/>
      <sz val="20"/>
      <color rgb="FFF0C75E"/>
      <name val="Arial"/>
      <family val="2"/>
    </font>
    <font>
      <b/>
      <sz val="24"/>
      <color rgb="FFF2F3F5"/>
      <name val="Arial"/>
      <family val="2"/>
    </font>
    <font>
      <b/>
      <sz val="20"/>
      <color rgb="FFF2F3F5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D4AF37"/>
      </patternFill>
    </fill>
    <fill>
      <patternFill patternType="solid">
        <fgColor rgb="FF121216"/>
      </patternFill>
    </fill>
    <fill>
      <patternFill patternType="solid">
        <fgColor rgb="FF0B0B0D"/>
      </patternFill>
    </fill>
    <fill>
      <patternFill patternType="solid">
        <fgColor theme="3" tint="0.74987029633472702"/>
        <bgColor indexed="65"/>
      </patternFill>
    </fill>
    <fill>
      <patternFill patternType="solid">
        <fgColor theme="3" tint="4.9989318521683403E-2"/>
        <bgColor indexed="65"/>
      </patternFill>
    </fill>
    <fill>
      <patternFill patternType="solid">
        <fgColor theme="1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theme="3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00B050"/>
      </patternFill>
    </fill>
    <fill>
      <patternFill patternType="solid">
        <fgColor theme="7" tint="-0.49986266670735802"/>
        <bgColor indexed="65"/>
      </patternFill>
    </fill>
    <fill>
      <patternFill patternType="solid">
        <fgColor rgb="FFFF0000"/>
      </patternFill>
    </fill>
    <fill>
      <patternFill patternType="solid">
        <fgColor rgb="FF0B0B0D"/>
      </patternFill>
    </fill>
    <fill>
      <patternFill patternType="solid">
        <fgColor rgb="FFFFFF00"/>
      </patternFill>
    </fill>
    <fill>
      <patternFill patternType="solid">
        <fgColor rgb="FFF1F1F1"/>
      </patternFill>
    </fill>
    <fill>
      <patternFill patternType="solid">
        <fgColor rgb="FF0B0C0F"/>
      </patternFill>
    </fill>
    <fill>
      <patternFill patternType="solid">
        <fgColor rgb="FF15171C"/>
      </patternFill>
    </fill>
    <fill>
      <patternFill patternType="solid">
        <fgColor rgb="FF1D2026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8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505050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 style="medium">
        <color rgb="FF505050"/>
      </right>
      <top/>
      <bottom/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/>
      <top/>
      <bottom style="thin">
        <color rgb="FF29292F"/>
      </bottom>
      <diagonal/>
    </border>
    <border>
      <left style="medium">
        <color rgb="FFD4AF37"/>
      </left>
      <right style="thin">
        <color rgb="FF29292F"/>
      </right>
      <top style="medium">
        <color rgb="FFD4AF37"/>
      </top>
      <bottom style="thin">
        <color rgb="FF29292F"/>
      </bottom>
      <diagonal/>
    </border>
    <border>
      <left style="medium">
        <color rgb="FFD4AF37"/>
      </left>
      <right style="thin">
        <color rgb="FF29292F"/>
      </right>
      <top style="thin">
        <color rgb="FF29292F"/>
      </top>
      <bottom style="thin">
        <color rgb="FF29292F"/>
      </bottom>
      <diagonal/>
    </border>
    <border>
      <left/>
      <right style="thin">
        <color rgb="FF29292F"/>
      </right>
      <top style="medium">
        <color rgb="FFD4AF37"/>
      </top>
      <bottom style="thin">
        <color rgb="FF29292F"/>
      </bottom>
      <diagonal/>
    </border>
    <border>
      <left style="medium">
        <color rgb="FFD4AF37"/>
      </left>
      <right/>
      <top/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/>
      <right style="thin">
        <color rgb="FF29292F"/>
      </right>
      <top/>
      <bottom/>
      <diagonal/>
    </border>
    <border>
      <left style="medium">
        <color rgb="FFD4AF37"/>
      </left>
      <right/>
      <top/>
      <bottom style="thin">
        <color rgb="FF29292F"/>
      </bottom>
      <diagonal/>
    </border>
    <border>
      <left/>
      <right style="thin">
        <color rgb="FF29292F"/>
      </right>
      <top/>
      <bottom style="thin">
        <color rgb="FF29292F"/>
      </bottom>
      <diagonal/>
    </border>
    <border>
      <left style="medium">
        <color theme="9"/>
      </left>
      <right style="thin">
        <color rgb="FF505050"/>
      </right>
      <top style="medium">
        <color theme="9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theme="9"/>
      </top>
      <bottom style="thin">
        <color rgb="FF505050"/>
      </bottom>
      <diagonal/>
    </border>
    <border>
      <left style="thin">
        <color rgb="FF505050"/>
      </left>
      <right style="medium">
        <color theme="9"/>
      </right>
      <top style="medium">
        <color theme="9"/>
      </top>
      <bottom style="thin">
        <color rgb="FF505050"/>
      </bottom>
      <diagonal/>
    </border>
    <border>
      <left style="medium">
        <color theme="9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theme="9"/>
      </right>
      <top style="thin">
        <color rgb="FF505050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 style="thin">
        <color rgb="FF24364B"/>
      </left>
      <right style="thin">
        <color rgb="FF24364B"/>
      </right>
      <top style="thin">
        <color rgb="FF24364B"/>
      </top>
      <bottom style="thin">
        <color rgb="FF24364B"/>
      </bottom>
      <diagonal/>
    </border>
    <border>
      <left style="medium">
        <color indexed="64"/>
      </left>
      <right/>
      <top style="medium">
        <color indexed="64"/>
      </top>
      <bottom style="medium">
        <color rgb="FFD4AF37"/>
      </bottom>
      <diagonal/>
    </border>
    <border>
      <left/>
      <right/>
      <top style="medium">
        <color indexed="64"/>
      </top>
      <bottom style="medium">
        <color rgb="FFD4AF37"/>
      </bottom>
      <diagonal/>
    </border>
    <border>
      <left/>
      <right style="medium">
        <color indexed="64"/>
      </right>
      <top style="medium">
        <color indexed="64"/>
      </top>
      <bottom style="medium">
        <color rgb="FFD4AF37"/>
      </bottom>
      <diagonal/>
    </border>
    <border>
      <left style="medium">
        <color indexed="64"/>
      </left>
      <right/>
      <top/>
      <bottom style="thin">
        <color rgb="FF29292F"/>
      </bottom>
      <diagonal/>
    </border>
    <border>
      <left/>
      <right style="medium">
        <color indexed="64"/>
      </right>
      <top/>
      <bottom style="thin">
        <color rgb="FF29292F"/>
      </bottom>
      <diagonal/>
    </border>
    <border>
      <left style="medium">
        <color indexed="64"/>
      </left>
      <right style="thin">
        <color rgb="FF24364B"/>
      </right>
      <top style="thin">
        <color rgb="FF24364B"/>
      </top>
      <bottom style="thin">
        <color rgb="FF24364B"/>
      </bottom>
      <diagonal/>
    </border>
    <border>
      <left style="thin">
        <color rgb="FF24364B"/>
      </left>
      <right style="medium">
        <color indexed="64"/>
      </right>
      <top style="thin">
        <color rgb="FF24364B"/>
      </top>
      <bottom style="thin">
        <color rgb="FF24364B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24364B"/>
      </right>
      <top style="thin">
        <color rgb="FF24364B"/>
      </top>
      <bottom/>
      <diagonal/>
    </border>
    <border>
      <left style="thin">
        <color rgb="FF24364B"/>
      </left>
      <right style="thin">
        <color rgb="FF24364B"/>
      </right>
      <top style="thin">
        <color rgb="FF24364B"/>
      </top>
      <bottom/>
      <diagonal/>
    </border>
    <border>
      <left style="thin">
        <color rgb="FF24364B"/>
      </left>
      <right style="medium">
        <color indexed="64"/>
      </right>
      <top style="thin">
        <color rgb="FF24364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505050"/>
      </top>
      <bottom/>
      <diagonal/>
    </border>
  </borders>
  <cellStyleXfs count="4">
    <xf numFmtId="0" fontId="0" fillId="0" borderId="0"/>
    <xf numFmtId="0" fontId="1" fillId="0" borderId="0"/>
    <xf numFmtId="164" fontId="28" fillId="0" borderId="0" applyFont="0" applyFill="0" applyBorder="0" applyAlignment="0" applyProtection="0"/>
    <xf numFmtId="0" fontId="39" fillId="0" borderId="0" applyFill="0" applyAlignment="0" applyProtection="0"/>
  </cellStyleXfs>
  <cellXfs count="302">
    <xf numFmtId="0" fontId="0" fillId="0" borderId="0" xfId="0"/>
    <xf numFmtId="0" fontId="0" fillId="2" borderId="0" xfId="0" applyFill="1"/>
    <xf numFmtId="165" fontId="0" fillId="0" borderId="0" xfId="0" applyNumberFormat="1"/>
    <xf numFmtId="0" fontId="0" fillId="2" borderId="0" xfId="0" applyFill="1" applyAlignment="1">
      <alignment horizontal="left"/>
    </xf>
    <xf numFmtId="0" fontId="2" fillId="0" borderId="0" xfId="0" applyFont="1"/>
    <xf numFmtId="0" fontId="0" fillId="2" borderId="0" xfId="0" applyFill="1" applyAlignment="1">
      <alignment horizontal="center" wrapText="1"/>
    </xf>
    <xf numFmtId="166" fontId="0" fillId="0" borderId="0" xfId="0" applyNumberFormat="1"/>
    <xf numFmtId="0" fontId="1" fillId="0" borderId="0" xfId="0" applyFont="1"/>
    <xf numFmtId="0" fontId="0" fillId="2" borderId="12" xfId="0" applyFill="1" applyBorder="1"/>
    <xf numFmtId="0" fontId="0" fillId="0" borderId="0" xfId="0" applyAlignment="1">
      <alignment vertical="top"/>
    </xf>
    <xf numFmtId="0" fontId="0" fillId="5" borderId="0" xfId="0" applyFill="1"/>
    <xf numFmtId="0" fontId="8" fillId="5" borderId="0" xfId="0" applyFont="1" applyFill="1"/>
    <xf numFmtId="170" fontId="3" fillId="4" borderId="0" xfId="0" applyNumberFormat="1" applyFont="1" applyFill="1" applyAlignment="1">
      <alignment horizontal="center"/>
    </xf>
    <xf numFmtId="169" fontId="3" fillId="4" borderId="0" xfId="0" applyNumberFormat="1" applyFont="1" applyFill="1"/>
    <xf numFmtId="0" fontId="11" fillId="5" borderId="0" xfId="0" applyFont="1" applyFill="1"/>
    <xf numFmtId="0" fontId="12" fillId="5" borderId="0" xfId="0" applyFont="1" applyFill="1"/>
    <xf numFmtId="0" fontId="5" fillId="5" borderId="0" xfId="0" applyFont="1" applyFill="1"/>
    <xf numFmtId="169" fontId="5" fillId="5" borderId="0" xfId="0" applyNumberFormat="1" applyFont="1" applyFill="1"/>
    <xf numFmtId="168" fontId="3" fillId="4" borderId="0" xfId="0" applyNumberFormat="1" applyFont="1" applyFill="1"/>
    <xf numFmtId="0" fontId="13" fillId="5" borderId="0" xfId="0" applyFont="1" applyFill="1"/>
    <xf numFmtId="14" fontId="5" fillId="4" borderId="32" xfId="0" applyNumberFormat="1" applyFont="1" applyFill="1" applyBorder="1"/>
    <xf numFmtId="0" fontId="5" fillId="4" borderId="32" xfId="0" applyFont="1" applyFill="1" applyBorder="1"/>
    <xf numFmtId="169" fontId="5" fillId="4" borderId="32" xfId="0" applyNumberFormat="1" applyFont="1" applyFill="1" applyBorder="1"/>
    <xf numFmtId="14" fontId="5" fillId="5" borderId="32" xfId="0" applyNumberFormat="1" applyFont="1" applyFill="1" applyBorder="1"/>
    <xf numFmtId="0" fontId="5" fillId="5" borderId="32" xfId="0" applyFont="1" applyFill="1" applyBorder="1"/>
    <xf numFmtId="169" fontId="5" fillId="5" borderId="32" xfId="0" applyNumberFormat="1" applyFont="1" applyFill="1" applyBorder="1"/>
    <xf numFmtId="0" fontId="4" fillId="3" borderId="0" xfId="0" applyFont="1" applyFill="1" applyAlignment="1">
      <alignment horizontal="center"/>
    </xf>
    <xf numFmtId="168" fontId="5" fillId="4" borderId="32" xfId="0" applyNumberFormat="1" applyFont="1" applyFill="1" applyBorder="1"/>
    <xf numFmtId="0" fontId="0" fillId="8" borderId="0" xfId="0" applyFill="1"/>
    <xf numFmtId="0" fontId="0" fillId="9" borderId="0" xfId="0" applyFill="1" applyAlignment="1">
      <alignment vertical="center"/>
    </xf>
    <xf numFmtId="0" fontId="0" fillId="9" borderId="0" xfId="0" applyFill="1"/>
    <xf numFmtId="0" fontId="0" fillId="11" borderId="0" xfId="0" applyFill="1" applyAlignment="1">
      <alignment horizontal="center" wrapText="1"/>
    </xf>
    <xf numFmtId="8" fontId="0" fillId="0" borderId="7" xfId="0" applyNumberFormat="1" applyBorder="1"/>
    <xf numFmtId="0" fontId="21" fillId="0" borderId="6" xfId="0" applyFont="1" applyBorder="1"/>
    <xf numFmtId="8" fontId="0" fillId="0" borderId="8" xfId="0" applyNumberFormat="1" applyBorder="1"/>
    <xf numFmtId="0" fontId="0" fillId="11" borderId="0" xfId="0" applyFill="1" applyAlignment="1">
      <alignment horizontal="center"/>
    </xf>
    <xf numFmtId="0" fontId="20" fillId="0" borderId="6" xfId="0" applyFont="1" applyBorder="1"/>
    <xf numFmtId="0" fontId="22" fillId="0" borderId="0" xfId="0" applyFont="1"/>
    <xf numFmtId="165" fontId="0" fillId="9" borderId="0" xfId="0" applyNumberFormat="1" applyFill="1"/>
    <xf numFmtId="8" fontId="0" fillId="0" borderId="9" xfId="0" applyNumberFormat="1" applyBorder="1"/>
    <xf numFmtId="0" fontId="0" fillId="9" borderId="0" xfId="0" applyFill="1" applyAlignment="1">
      <alignment horizontal="left"/>
    </xf>
    <xf numFmtId="0" fontId="0" fillId="9" borderId="0" xfId="0" applyFill="1" applyAlignment="1">
      <alignment horizontal="center" wrapText="1"/>
    </xf>
    <xf numFmtId="165" fontId="28" fillId="0" borderId="0" xfId="0" applyNumberFormat="1" applyFont="1"/>
    <xf numFmtId="0" fontId="25" fillId="9" borderId="0" xfId="0" applyFont="1" applyFill="1" applyAlignment="1">
      <alignment horizontal="left"/>
    </xf>
    <xf numFmtId="0" fontId="29" fillId="9" borderId="0" xfId="0" applyFont="1" applyFill="1" applyAlignment="1">
      <alignment vertical="center" wrapText="1"/>
    </xf>
    <xf numFmtId="0" fontId="0" fillId="10" borderId="0" xfId="0" applyFill="1"/>
    <xf numFmtId="8" fontId="32" fillId="10" borderId="1" xfId="0" applyNumberFormat="1" applyFont="1" applyFill="1" applyBorder="1"/>
    <xf numFmtId="0" fontId="32" fillId="10" borderId="4" xfId="0" applyFont="1" applyFill="1" applyBorder="1" applyAlignment="1">
      <alignment horizontal="center" vertical="center"/>
    </xf>
    <xf numFmtId="0" fontId="0" fillId="12" borderId="22" xfId="0" applyFill="1" applyBorder="1"/>
    <xf numFmtId="0" fontId="34" fillId="4" borderId="32" xfId="0" applyFont="1" applyFill="1" applyBorder="1" applyAlignment="1">
      <alignment horizontal="center"/>
    </xf>
    <xf numFmtId="0" fontId="34" fillId="5" borderId="32" xfId="0" applyFont="1" applyFill="1" applyBorder="1"/>
    <xf numFmtId="0" fontId="4" fillId="18" borderId="32" xfId="0" applyFont="1" applyFill="1" applyBorder="1" applyAlignment="1">
      <alignment horizontal="center" vertical="center" wrapText="1"/>
    </xf>
    <xf numFmtId="169" fontId="4" fillId="18" borderId="32" xfId="0" applyNumberFormat="1" applyFont="1" applyFill="1" applyBorder="1" applyAlignment="1">
      <alignment horizontal="center" vertical="center" wrapText="1"/>
    </xf>
    <xf numFmtId="0" fontId="37" fillId="19" borderId="59" xfId="0" applyFont="1" applyFill="1" applyBorder="1" applyAlignment="1">
      <alignment vertical="center" wrapText="1"/>
    </xf>
    <xf numFmtId="0" fontId="37" fillId="19" borderId="59" xfId="0" applyFont="1" applyFill="1" applyBorder="1" applyAlignment="1">
      <alignment vertical="center"/>
    </xf>
    <xf numFmtId="169" fontId="37" fillId="19" borderId="59" xfId="0" applyNumberFormat="1" applyFont="1" applyFill="1" applyBorder="1" applyAlignment="1">
      <alignment vertical="center"/>
    </xf>
    <xf numFmtId="0" fontId="37" fillId="19" borderId="59" xfId="0" applyFont="1" applyFill="1" applyBorder="1" applyAlignment="1">
      <alignment horizontal="left" vertical="center" wrapText="1"/>
    </xf>
    <xf numFmtId="14" fontId="4" fillId="18" borderId="63" xfId="0" applyNumberFormat="1" applyFont="1" applyFill="1" applyBorder="1" applyAlignment="1">
      <alignment horizontal="center" vertical="center" wrapText="1"/>
    </xf>
    <xf numFmtId="49" fontId="4" fillId="18" borderId="64" xfId="0" applyNumberFormat="1" applyFont="1" applyFill="1" applyBorder="1" applyAlignment="1">
      <alignment horizontal="center" vertical="center" wrapText="1"/>
    </xf>
    <xf numFmtId="14" fontId="37" fillId="19" borderId="65" xfId="0" applyNumberFormat="1" applyFont="1" applyFill="1" applyBorder="1" applyAlignment="1">
      <alignment vertical="center"/>
    </xf>
    <xf numFmtId="14" fontId="4" fillId="18" borderId="67" xfId="0" applyNumberFormat="1" applyFont="1" applyFill="1" applyBorder="1" applyAlignment="1">
      <alignment vertical="center"/>
    </xf>
    <xf numFmtId="169" fontId="4" fillId="18" borderId="68" xfId="0" applyNumberFormat="1" applyFont="1" applyFill="1" applyBorder="1" applyAlignment="1">
      <alignment vertical="center"/>
    </xf>
    <xf numFmtId="0" fontId="4" fillId="18" borderId="68" xfId="0" applyFont="1" applyFill="1" applyBorder="1" applyAlignment="1">
      <alignment vertical="center"/>
    </xf>
    <xf numFmtId="49" fontId="4" fillId="18" borderId="69" xfId="0" applyNumberFormat="1" applyFont="1" applyFill="1" applyBorder="1" applyAlignment="1">
      <alignment vertical="center"/>
    </xf>
    <xf numFmtId="14" fontId="37" fillId="19" borderId="70" xfId="0" applyNumberFormat="1" applyFont="1" applyFill="1" applyBorder="1" applyAlignment="1">
      <alignment vertical="center"/>
    </xf>
    <xf numFmtId="0" fontId="37" fillId="19" borderId="71" xfId="0" applyFont="1" applyFill="1" applyBorder="1" applyAlignment="1">
      <alignment vertical="center" wrapText="1"/>
    </xf>
    <xf numFmtId="0" fontId="37" fillId="19" borderId="71" xfId="0" applyFont="1" applyFill="1" applyBorder="1" applyAlignment="1">
      <alignment vertical="center"/>
    </xf>
    <xf numFmtId="169" fontId="37" fillId="19" borderId="71" xfId="0" applyNumberFormat="1" applyFont="1" applyFill="1" applyBorder="1" applyAlignment="1">
      <alignment vertical="center"/>
    </xf>
    <xf numFmtId="14" fontId="4" fillId="18" borderId="73" xfId="0" applyNumberFormat="1" applyFont="1" applyFill="1" applyBorder="1" applyAlignment="1">
      <alignment vertical="center"/>
    </xf>
    <xf numFmtId="169" fontId="4" fillId="18" borderId="74" xfId="0" applyNumberFormat="1" applyFont="1" applyFill="1" applyBorder="1" applyAlignment="1">
      <alignment vertical="center"/>
    </xf>
    <xf numFmtId="0" fontId="4" fillId="18" borderId="74" xfId="0" applyFont="1" applyFill="1" applyBorder="1" applyAlignment="1">
      <alignment vertical="center"/>
    </xf>
    <xf numFmtId="49" fontId="4" fillId="18" borderId="75" xfId="0" applyNumberFormat="1" applyFont="1" applyFill="1" applyBorder="1" applyAlignment="1">
      <alignment vertical="center"/>
    </xf>
    <xf numFmtId="174" fontId="37" fillId="19" borderId="66" xfId="0" applyNumberFormat="1" applyFont="1" applyFill="1" applyBorder="1" applyAlignment="1">
      <alignment vertical="center"/>
    </xf>
    <xf numFmtId="174" fontId="37" fillId="19" borderId="72" xfId="0" applyNumberFormat="1" applyFont="1" applyFill="1" applyBorder="1" applyAlignment="1">
      <alignment vertical="center"/>
    </xf>
    <xf numFmtId="0" fontId="38" fillId="19" borderId="59" xfId="0" applyFont="1" applyFill="1" applyBorder="1" applyAlignment="1">
      <alignment vertical="center"/>
    </xf>
    <xf numFmtId="169" fontId="40" fillId="5" borderId="32" xfId="0" applyNumberFormat="1" applyFont="1" applyFill="1" applyBorder="1"/>
    <xf numFmtId="0" fontId="40" fillId="5" borderId="32" xfId="0" applyFont="1" applyFill="1" applyBorder="1"/>
    <xf numFmtId="14" fontId="40" fillId="5" borderId="32" xfId="0" applyNumberFormat="1" applyFont="1" applyFill="1" applyBorder="1"/>
    <xf numFmtId="169" fontId="40" fillId="4" borderId="32" xfId="0" applyNumberFormat="1" applyFont="1" applyFill="1" applyBorder="1"/>
    <xf numFmtId="14" fontId="40" fillId="4" borderId="32" xfId="0" applyNumberFormat="1" applyFont="1" applyFill="1" applyBorder="1"/>
    <xf numFmtId="0" fontId="40" fillId="4" borderId="32" xfId="0" applyFont="1" applyFill="1" applyBorder="1"/>
    <xf numFmtId="0" fontId="4" fillId="3" borderId="0" xfId="0" applyFont="1" applyFill="1"/>
    <xf numFmtId="175" fontId="40" fillId="4" borderId="32" xfId="2" applyNumberFormat="1" applyFont="1" applyFill="1" applyBorder="1"/>
    <xf numFmtId="175" fontId="40" fillId="5" borderId="32" xfId="2" applyNumberFormat="1" applyFont="1" applyFill="1" applyBorder="1"/>
    <xf numFmtId="0" fontId="42" fillId="20" borderId="0" xfId="0" applyFont="1" applyFill="1"/>
    <xf numFmtId="0" fontId="43" fillId="3" borderId="0" xfId="0" applyFont="1" applyFill="1" applyAlignment="1">
      <alignment horizontal="center"/>
    </xf>
    <xf numFmtId="0" fontId="44" fillId="20" borderId="0" xfId="0" applyFont="1" applyFill="1"/>
    <xf numFmtId="0" fontId="45" fillId="20" borderId="12" xfId="0" applyFont="1" applyFill="1" applyBorder="1" applyAlignment="1">
      <alignment horizontal="left"/>
    </xf>
    <xf numFmtId="168" fontId="46" fillId="21" borderId="0" xfId="0" applyNumberFormat="1" applyFont="1" applyFill="1" applyAlignment="1">
      <alignment horizontal="center"/>
    </xf>
    <xf numFmtId="171" fontId="46" fillId="21" borderId="0" xfId="0" applyNumberFormat="1" applyFont="1" applyFill="1" applyAlignment="1">
      <alignment horizontal="center"/>
    </xf>
    <xf numFmtId="0" fontId="47" fillId="22" borderId="49" xfId="0" applyFont="1" applyFill="1" applyBorder="1" applyAlignment="1">
      <alignment wrapText="1"/>
    </xf>
    <xf numFmtId="8" fontId="48" fillId="21" borderId="50" xfId="0" applyNumberFormat="1" applyFont="1" applyFill="1" applyBorder="1" applyAlignment="1">
      <alignment wrapText="1"/>
    </xf>
    <xf numFmtId="0" fontId="47" fillId="22" borderId="47" xfId="0" applyFont="1" applyFill="1" applyBorder="1" applyAlignment="1">
      <alignment wrapText="1"/>
    </xf>
    <xf numFmtId="8" fontId="48" fillId="21" borderId="48" xfId="0" applyNumberFormat="1" applyFont="1" applyFill="1" applyBorder="1" applyAlignment="1">
      <alignment wrapText="1"/>
    </xf>
    <xf numFmtId="0" fontId="49" fillId="22" borderId="47" xfId="0" applyFont="1" applyFill="1" applyBorder="1"/>
    <xf numFmtId="8" fontId="42" fillId="21" borderId="48" xfId="0" applyNumberFormat="1" applyFont="1" applyFill="1" applyBorder="1"/>
    <xf numFmtId="10" fontId="45" fillId="21" borderId="48" xfId="0" applyNumberFormat="1" applyFont="1" applyFill="1" applyBorder="1"/>
    <xf numFmtId="0" fontId="44" fillId="22" borderId="47" xfId="0" applyFont="1" applyFill="1" applyBorder="1"/>
    <xf numFmtId="0" fontId="42" fillId="21" borderId="48" xfId="0" applyFont="1" applyFill="1" applyBorder="1"/>
    <xf numFmtId="0" fontId="52" fillId="22" borderId="47" xfId="0" applyFont="1" applyFill="1" applyBorder="1" applyAlignment="1">
      <alignment horizontal="center"/>
    </xf>
    <xf numFmtId="0" fontId="53" fillId="21" borderId="48" xfId="0" applyFont="1" applyFill="1" applyBorder="1" applyAlignment="1">
      <alignment horizontal="center"/>
    </xf>
    <xf numFmtId="0" fontId="54" fillId="22" borderId="1" xfId="0" applyFont="1" applyFill="1" applyBorder="1"/>
    <xf numFmtId="171" fontId="55" fillId="22" borderId="13" xfId="0" applyNumberFormat="1" applyFont="1" applyFill="1" applyBorder="1" applyAlignment="1">
      <alignment horizontal="center"/>
    </xf>
    <xf numFmtId="165" fontId="56" fillId="22" borderId="47" xfId="0" applyNumberFormat="1" applyFont="1" applyFill="1" applyBorder="1" applyAlignment="1">
      <alignment horizontal="center"/>
    </xf>
    <xf numFmtId="165" fontId="56" fillId="22" borderId="48" xfId="0" applyNumberFormat="1" applyFont="1" applyFill="1" applyBorder="1" applyAlignment="1">
      <alignment horizontal="center"/>
    </xf>
    <xf numFmtId="0" fontId="54" fillId="22" borderId="14" xfId="0" applyFont="1" applyFill="1" applyBorder="1" applyAlignment="1">
      <alignment horizontal="left" vertical="center"/>
    </xf>
    <xf numFmtId="171" fontId="55" fillId="22" borderId="15" xfId="0" applyNumberFormat="1" applyFont="1" applyFill="1" applyBorder="1" applyAlignment="1">
      <alignment horizontal="center"/>
    </xf>
    <xf numFmtId="0" fontId="54" fillId="22" borderId="51" xfId="0" applyFont="1" applyFill="1" applyBorder="1" applyAlignment="1">
      <alignment horizontal="center"/>
    </xf>
    <xf numFmtId="0" fontId="54" fillId="22" borderId="52" xfId="0" applyFont="1" applyFill="1" applyBorder="1" applyAlignment="1">
      <alignment horizontal="center"/>
    </xf>
    <xf numFmtId="10" fontId="45" fillId="22" borderId="49" xfId="0" applyNumberFormat="1" applyFont="1" applyFill="1" applyBorder="1" applyAlignment="1">
      <alignment horizontal="center" vertical="center"/>
    </xf>
    <xf numFmtId="10" fontId="45" fillId="22" borderId="56" xfId="0" applyNumberFormat="1" applyFont="1" applyFill="1" applyBorder="1" applyAlignment="1">
      <alignment horizontal="center" vertical="center"/>
    </xf>
    <xf numFmtId="10" fontId="45" fillId="22" borderId="53" xfId="0" applyNumberFormat="1" applyFont="1" applyFill="1" applyBorder="1" applyAlignment="1">
      <alignment horizontal="center" vertical="center"/>
    </xf>
    <xf numFmtId="10" fontId="45" fillId="22" borderId="58" xfId="0" applyNumberFormat="1" applyFont="1" applyFill="1" applyBorder="1" applyAlignment="1">
      <alignment horizontal="center" vertical="center"/>
    </xf>
    <xf numFmtId="0" fontId="42" fillId="21" borderId="0" xfId="0" applyFont="1" applyFill="1"/>
    <xf numFmtId="0" fontId="44" fillId="21" borderId="41" xfId="0" applyFont="1" applyFill="1" applyBorder="1"/>
    <xf numFmtId="0" fontId="54" fillId="21" borderId="42" xfId="0" applyFont="1" applyFill="1" applyBorder="1"/>
    <xf numFmtId="0" fontId="54" fillId="21" borderId="43" xfId="0" applyFont="1" applyFill="1" applyBorder="1"/>
    <xf numFmtId="0" fontId="44" fillId="21" borderId="44" xfId="0" applyFont="1" applyFill="1" applyBorder="1"/>
    <xf numFmtId="0" fontId="57" fillId="21" borderId="45" xfId="0" applyFont="1" applyFill="1" applyBorder="1"/>
    <xf numFmtId="0" fontId="57" fillId="21" borderId="46" xfId="0" applyFont="1" applyFill="1" applyBorder="1"/>
    <xf numFmtId="0" fontId="44" fillId="21" borderId="47" xfId="0" applyFont="1" applyFill="1" applyBorder="1"/>
    <xf numFmtId="0" fontId="42" fillId="20" borderId="47" xfId="0" applyFont="1" applyFill="1" applyBorder="1"/>
    <xf numFmtId="0" fontId="42" fillId="20" borderId="48" xfId="0" applyFont="1" applyFill="1" applyBorder="1"/>
    <xf numFmtId="0" fontId="42" fillId="20" borderId="53" xfId="0" applyFont="1" applyFill="1" applyBorder="1"/>
    <xf numFmtId="0" fontId="42" fillId="20" borderId="54" xfId="0" applyFont="1" applyFill="1" applyBorder="1"/>
    <xf numFmtId="0" fontId="42" fillId="20" borderId="55" xfId="0" applyFont="1" applyFill="1" applyBorder="1"/>
    <xf numFmtId="172" fontId="42" fillId="20" borderId="57" xfId="0" applyNumberFormat="1" applyFont="1" applyFill="1" applyBorder="1" applyAlignment="1">
      <alignment horizontal="center"/>
    </xf>
    <xf numFmtId="0" fontId="59" fillId="20" borderId="0" xfId="0" applyFont="1" applyFill="1"/>
    <xf numFmtId="165" fontId="42" fillId="20" borderId="0" xfId="0" applyNumberFormat="1" applyFont="1" applyFill="1"/>
    <xf numFmtId="0" fontId="60" fillId="20" borderId="0" xfId="0" applyFont="1" applyFill="1"/>
    <xf numFmtId="0" fontId="44" fillId="20" borderId="5" xfId="0" applyFont="1" applyFill="1" applyBorder="1" applyAlignment="1">
      <alignment horizontal="center"/>
    </xf>
    <xf numFmtId="4" fontId="54" fillId="22" borderId="11" xfId="0" applyNumberFormat="1" applyFont="1" applyFill="1" applyBorder="1" applyAlignment="1">
      <alignment horizontal="center"/>
    </xf>
    <xf numFmtId="0" fontId="44" fillId="20" borderId="4" xfId="0" applyFont="1" applyFill="1" applyBorder="1" applyAlignment="1">
      <alignment horizontal="center"/>
    </xf>
    <xf numFmtId="0" fontId="44" fillId="20" borderId="19" xfId="0" applyFont="1" applyFill="1" applyBorder="1" applyAlignment="1">
      <alignment horizontal="center" vertical="center"/>
    </xf>
    <xf numFmtId="0" fontId="42" fillId="20" borderId="12" xfId="0" applyFont="1" applyFill="1" applyBorder="1"/>
    <xf numFmtId="165" fontId="44" fillId="20" borderId="21" xfId="0" applyNumberFormat="1" applyFont="1" applyFill="1" applyBorder="1"/>
    <xf numFmtId="0" fontId="44" fillId="20" borderId="21" xfId="0" applyFont="1" applyFill="1" applyBorder="1"/>
    <xf numFmtId="0" fontId="42" fillId="20" borderId="21" xfId="0" applyFont="1" applyFill="1" applyBorder="1"/>
    <xf numFmtId="0" fontId="44" fillId="20" borderId="0" xfId="0" applyFont="1" applyFill="1" applyAlignment="1">
      <alignment wrapText="1"/>
    </xf>
    <xf numFmtId="0" fontId="44" fillId="20" borderId="2" xfId="0" applyFont="1" applyFill="1" applyBorder="1" applyAlignment="1">
      <alignment horizontal="center" wrapText="1"/>
    </xf>
    <xf numFmtId="0" fontId="44" fillId="20" borderId="0" xfId="0" applyFont="1" applyFill="1" applyAlignment="1">
      <alignment horizontal="center" wrapText="1"/>
    </xf>
    <xf numFmtId="0" fontId="42" fillId="21" borderId="23" xfId="0" applyFont="1" applyFill="1" applyBorder="1" applyAlignment="1">
      <alignment horizontal="center"/>
    </xf>
    <xf numFmtId="10" fontId="42" fillId="21" borderId="2" xfId="0" applyNumberFormat="1" applyFont="1" applyFill="1" applyBorder="1" applyAlignment="1">
      <alignment horizontal="right"/>
    </xf>
    <xf numFmtId="10" fontId="42" fillId="21" borderId="24" xfId="0" applyNumberFormat="1" applyFont="1" applyFill="1" applyBorder="1" applyAlignment="1">
      <alignment horizontal="right"/>
    </xf>
    <xf numFmtId="165" fontId="42" fillId="21" borderId="21" xfId="0" applyNumberFormat="1" applyFont="1" applyFill="1" applyBorder="1"/>
    <xf numFmtId="10" fontId="42" fillId="21" borderId="2" xfId="0" applyNumberFormat="1" applyFont="1" applyFill="1" applyBorder="1" applyAlignment="1">
      <alignment horizontal="center"/>
    </xf>
    <xf numFmtId="0" fontId="42" fillId="21" borderId="20" xfId="0" applyFont="1" applyFill="1" applyBorder="1" applyAlignment="1">
      <alignment horizontal="center"/>
    </xf>
    <xf numFmtId="10" fontId="42" fillId="21" borderId="3" xfId="0" applyNumberFormat="1" applyFont="1" applyFill="1" applyBorder="1" applyAlignment="1">
      <alignment horizontal="right"/>
    </xf>
    <xf numFmtId="10" fontId="42" fillId="21" borderId="13" xfId="0" applyNumberFormat="1" applyFont="1" applyFill="1" applyBorder="1" applyAlignment="1">
      <alignment horizontal="right"/>
    </xf>
    <xf numFmtId="165" fontId="42" fillId="21" borderId="0" xfId="0" applyNumberFormat="1" applyFont="1" applyFill="1"/>
    <xf numFmtId="10" fontId="42" fillId="21" borderId="11" xfId="0" applyNumberFormat="1" applyFont="1" applyFill="1" applyBorder="1" applyAlignment="1">
      <alignment horizontal="center"/>
    </xf>
    <xf numFmtId="0" fontId="42" fillId="21" borderId="2" xfId="0" applyFont="1" applyFill="1" applyBorder="1" applyAlignment="1">
      <alignment horizontal="center"/>
    </xf>
    <xf numFmtId="165" fontId="42" fillId="21" borderId="23" xfId="0" applyNumberFormat="1" applyFont="1" applyFill="1" applyBorder="1"/>
    <xf numFmtId="0" fontId="61" fillId="20" borderId="0" xfId="0" applyFont="1" applyFill="1"/>
    <xf numFmtId="0" fontId="63" fillId="20" borderId="0" xfId="0" applyFont="1" applyFill="1"/>
    <xf numFmtId="0" fontId="61" fillId="20" borderId="0" xfId="0" applyFont="1" applyFill="1" applyAlignment="1">
      <alignment vertical="top"/>
    </xf>
    <xf numFmtId="0" fontId="42" fillId="20" borderId="79" xfId="0" applyFont="1" applyFill="1" applyBorder="1"/>
    <xf numFmtId="0" fontId="42" fillId="20" borderId="80" xfId="0" applyFont="1" applyFill="1" applyBorder="1"/>
    <xf numFmtId="0" fontId="4" fillId="3" borderId="0" xfId="0" applyFont="1" applyFill="1" applyAlignment="1">
      <alignment horizontal="center" vertical="center"/>
    </xf>
    <xf numFmtId="0" fontId="42" fillId="21" borderId="79" xfId="0" applyFont="1" applyFill="1" applyBorder="1"/>
    <xf numFmtId="0" fontId="61" fillId="22" borderId="0" xfId="0" applyFont="1" applyFill="1"/>
    <xf numFmtId="173" fontId="4" fillId="3" borderId="0" xfId="0" applyNumberFormat="1" applyFont="1" applyFill="1" applyAlignment="1">
      <alignment horizontal="center"/>
    </xf>
    <xf numFmtId="10" fontId="4" fillId="3" borderId="0" xfId="0" applyNumberFormat="1" applyFont="1" applyFill="1" applyAlignment="1">
      <alignment horizontal="center"/>
    </xf>
    <xf numFmtId="0" fontId="44" fillId="20" borderId="79" xfId="0" applyFont="1" applyFill="1" applyBorder="1"/>
    <xf numFmtId="0" fontId="54" fillId="22" borderId="79" xfId="0" applyFont="1" applyFill="1" applyBorder="1"/>
    <xf numFmtId="0" fontId="54" fillId="22" borderId="0" xfId="0" applyFont="1" applyFill="1"/>
    <xf numFmtId="0" fontId="42" fillId="20" borderId="67" xfId="0" applyFont="1" applyFill="1" applyBorder="1"/>
    <xf numFmtId="0" fontId="42" fillId="20" borderId="68" xfId="0" applyFont="1" applyFill="1" applyBorder="1"/>
    <xf numFmtId="0" fontId="42" fillId="20" borderId="69" xfId="0" applyFont="1" applyFill="1" applyBorder="1"/>
    <xf numFmtId="164" fontId="42" fillId="20" borderId="12" xfId="2" applyFont="1" applyFill="1" applyBorder="1"/>
    <xf numFmtId="4" fontId="41" fillId="23" borderId="0" xfId="0" applyNumberFormat="1" applyFont="1" applyFill="1" applyAlignment="1">
      <alignment horizontal="center"/>
    </xf>
    <xf numFmtId="0" fontId="65" fillId="20" borderId="0" xfId="0" applyFont="1" applyFill="1" applyAlignment="1">
      <alignment vertical="center" wrapText="1"/>
    </xf>
    <xf numFmtId="0" fontId="66" fillId="20" borderId="0" xfId="0" applyFont="1" applyFill="1"/>
    <xf numFmtId="165" fontId="26" fillId="8" borderId="0" xfId="0" applyNumberFormat="1" applyFont="1" applyFill="1" applyAlignment="1">
      <alignment vertical="center"/>
    </xf>
    <xf numFmtId="14" fontId="25" fillId="19" borderId="65" xfId="0" applyNumberFormat="1" applyFont="1" applyFill="1" applyBorder="1" applyAlignment="1">
      <alignment vertical="center"/>
    </xf>
    <xf numFmtId="0" fontId="25" fillId="19" borderId="59" xfId="0" applyFont="1" applyFill="1" applyBorder="1" applyAlignment="1">
      <alignment vertical="center" wrapText="1"/>
    </xf>
    <xf numFmtId="0" fontId="25" fillId="19" borderId="59" xfId="0" applyFont="1" applyFill="1" applyBorder="1" applyAlignment="1">
      <alignment vertical="center"/>
    </xf>
    <xf numFmtId="169" fontId="25" fillId="19" borderId="59" xfId="0" applyNumberFormat="1" applyFont="1" applyFill="1" applyBorder="1" applyAlignment="1">
      <alignment vertical="center"/>
    </xf>
    <xf numFmtId="0" fontId="15" fillId="7" borderId="0" xfId="0" applyFont="1" applyFill="1" applyAlignment="1">
      <alignment horizontal="left" wrapText="1"/>
    </xf>
    <xf numFmtId="0" fontId="14" fillId="6" borderId="0" xfId="0" applyFont="1" applyFill="1" applyAlignment="1">
      <alignment horizontal="center" vertical="top" wrapText="1"/>
    </xf>
    <xf numFmtId="0" fontId="15" fillId="7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center"/>
    </xf>
    <xf numFmtId="0" fontId="0" fillId="0" borderId="0" xfId="0"/>
    <xf numFmtId="0" fontId="7" fillId="5" borderId="0" xfId="0" applyFont="1" applyFill="1" applyAlignment="1">
      <alignment horizontal="center"/>
    </xf>
    <xf numFmtId="0" fontId="9" fillId="4" borderId="33" xfId="0" applyFont="1" applyFill="1" applyBorder="1" applyAlignment="1">
      <alignment horizontal="center"/>
    </xf>
    <xf numFmtId="0" fontId="0" fillId="0" borderId="35" xfId="0" applyBorder="1"/>
    <xf numFmtId="169" fontId="10" fillId="4" borderId="34" xfId="0" applyNumberFormat="1" applyFont="1" applyFill="1" applyBorder="1" applyAlignment="1">
      <alignment horizontal="center" vertical="center"/>
    </xf>
    <xf numFmtId="0" fontId="0" fillId="0" borderId="37" xfId="0" applyBorder="1"/>
    <xf numFmtId="0" fontId="0" fillId="0" borderId="36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164" fontId="10" fillId="4" borderId="34" xfId="2" applyFont="1" applyFill="1" applyBorder="1" applyAlignment="1">
      <alignment horizontal="center" vertical="center"/>
    </xf>
    <xf numFmtId="164" fontId="0" fillId="0" borderId="37" xfId="2" applyFont="1" applyBorder="1"/>
    <xf numFmtId="164" fontId="0" fillId="0" borderId="36" xfId="2" applyFont="1" applyBorder="1"/>
    <xf numFmtId="164" fontId="0" fillId="0" borderId="38" xfId="2" applyFont="1" applyBorder="1"/>
    <xf numFmtId="164" fontId="0" fillId="0" borderId="39" xfId="2" applyFont="1" applyBorder="1"/>
    <xf numFmtId="164" fontId="0" fillId="0" borderId="40" xfId="2" applyFont="1" applyBorder="1"/>
    <xf numFmtId="1" fontId="10" fillId="4" borderId="34" xfId="0" applyNumberFormat="1" applyFont="1" applyFill="1" applyBorder="1" applyAlignment="1">
      <alignment horizontal="center" vertical="center"/>
    </xf>
    <xf numFmtId="167" fontId="23" fillId="8" borderId="0" xfId="0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center"/>
    </xf>
    <xf numFmtId="0" fontId="19" fillId="10" borderId="0" xfId="0" applyFont="1" applyFill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165" fontId="27" fillId="13" borderId="0" xfId="0" applyNumberFormat="1" applyFont="1" applyFill="1" applyAlignment="1">
      <alignment horizontal="center" vertical="center"/>
    </xf>
    <xf numFmtId="165" fontId="26" fillId="8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horizontal="center"/>
    </xf>
    <xf numFmtId="165" fontId="24" fillId="10" borderId="0" xfId="0" applyNumberFormat="1" applyFont="1" applyFill="1" applyAlignment="1">
      <alignment horizontal="center" vertical="center"/>
    </xf>
    <xf numFmtId="0" fontId="4" fillId="18" borderId="68" xfId="0" applyFont="1" applyFill="1" applyBorder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4" fillId="18" borderId="74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0" fontId="0" fillId="11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8" fontId="0" fillId="11" borderId="0" xfId="0" applyNumberFormat="1" applyFill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0" xfId="0" applyFont="1" applyAlignment="1">
      <alignment horizontal="left"/>
    </xf>
    <xf numFmtId="165" fontId="19" fillId="10" borderId="0" xfId="0" applyNumberFormat="1" applyFont="1" applyFill="1" applyAlignment="1">
      <alignment horizontal="center" vertical="center"/>
    </xf>
    <xf numFmtId="14" fontId="36" fillId="17" borderId="63" xfId="0" applyNumberFormat="1" applyFont="1" applyFill="1" applyBorder="1" applyAlignment="1">
      <alignment horizontal="center" vertical="center"/>
    </xf>
    <xf numFmtId="0" fontId="36" fillId="17" borderId="32" xfId="0" applyFont="1" applyFill="1" applyBorder="1" applyAlignment="1">
      <alignment horizontal="center" vertical="center" wrapText="1"/>
    </xf>
    <xf numFmtId="0" fontId="36" fillId="17" borderId="32" xfId="0" applyFont="1" applyFill="1" applyBorder="1" applyAlignment="1">
      <alignment horizontal="center" vertical="center"/>
    </xf>
    <xf numFmtId="169" fontId="36" fillId="17" borderId="32" xfId="0" applyNumberFormat="1" applyFont="1" applyFill="1" applyBorder="1" applyAlignment="1">
      <alignment horizontal="center" vertical="center"/>
    </xf>
    <xf numFmtId="49" fontId="36" fillId="17" borderId="64" xfId="0" applyNumberFormat="1" applyFont="1" applyFill="1" applyBorder="1" applyAlignment="1">
      <alignment horizontal="center" vertical="center"/>
    </xf>
    <xf numFmtId="165" fontId="19" fillId="10" borderId="0" xfId="0" applyNumberFormat="1" applyFont="1" applyFill="1" applyAlignment="1">
      <alignment horizontal="center" vertical="center" wrapText="1"/>
    </xf>
    <xf numFmtId="0" fontId="16" fillId="24" borderId="0" xfId="0" applyFont="1" applyFill="1" applyAlignment="1">
      <alignment horizontal="center"/>
    </xf>
    <xf numFmtId="0" fontId="16" fillId="24" borderId="0" xfId="0" applyFont="1" applyFill="1" applyAlignment="1">
      <alignment horizontal="left"/>
    </xf>
    <xf numFmtId="0" fontId="17" fillId="8" borderId="3" xfId="0" applyFont="1" applyFill="1" applyBorder="1" applyAlignment="1">
      <alignment horizontal="center"/>
    </xf>
    <xf numFmtId="0" fontId="17" fillId="8" borderId="26" xfId="0" applyFont="1" applyFill="1" applyBorder="1" applyAlignment="1">
      <alignment horizontal="center"/>
    </xf>
    <xf numFmtId="0" fontId="17" fillId="8" borderId="13" xfId="0" applyFont="1" applyFill="1" applyBorder="1" applyAlignment="1">
      <alignment horizontal="center"/>
    </xf>
    <xf numFmtId="0" fontId="15" fillId="8" borderId="0" xfId="0" applyFont="1" applyFill="1" applyAlignment="1">
      <alignment horizontal="center" vertical="center"/>
    </xf>
    <xf numFmtId="0" fontId="64" fillId="20" borderId="0" xfId="0" applyFont="1" applyFill="1" applyAlignment="1">
      <alignment horizontal="center" vertical="center" wrapText="1"/>
    </xf>
    <xf numFmtId="0" fontId="65" fillId="20" borderId="0" xfId="0" applyFont="1" applyFill="1" applyAlignment="1">
      <alignment horizontal="center" vertical="center" wrapText="1"/>
    </xf>
    <xf numFmtId="8" fontId="0" fillId="11" borderId="0" xfId="0" applyNumberFormat="1" applyFill="1" applyAlignment="1">
      <alignment horizontal="center" vertical="center"/>
    </xf>
    <xf numFmtId="0" fontId="35" fillId="17" borderId="60" xfId="0" applyFont="1" applyFill="1" applyBorder="1" applyAlignment="1">
      <alignment horizontal="center" vertical="center"/>
    </xf>
    <xf numFmtId="0" fontId="35" fillId="17" borderId="61" xfId="0" applyFont="1" applyFill="1" applyBorder="1" applyAlignment="1">
      <alignment horizontal="center" vertical="center"/>
    </xf>
    <xf numFmtId="0" fontId="35" fillId="17" borderId="62" xfId="0" applyFont="1" applyFill="1" applyBorder="1" applyAlignment="1">
      <alignment horizontal="center" vertical="center"/>
    </xf>
    <xf numFmtId="0" fontId="31" fillId="10" borderId="10" xfId="0" applyFont="1" applyFill="1" applyBorder="1" applyAlignment="1">
      <alignment horizontal="center" vertical="center" wrapText="1"/>
    </xf>
    <xf numFmtId="0" fontId="31" fillId="10" borderId="25" xfId="0" applyFont="1" applyFill="1" applyBorder="1" applyAlignment="1">
      <alignment horizontal="center" vertical="center" wrapText="1"/>
    </xf>
    <xf numFmtId="0" fontId="31" fillId="10" borderId="19" xfId="0" applyFont="1" applyFill="1" applyBorder="1" applyAlignment="1">
      <alignment horizontal="center" vertical="center" wrapText="1"/>
    </xf>
    <xf numFmtId="0" fontId="31" fillId="10" borderId="17" xfId="0" applyFont="1" applyFill="1" applyBorder="1" applyAlignment="1">
      <alignment horizontal="center" vertical="center" wrapText="1"/>
    </xf>
    <xf numFmtId="0" fontId="31" fillId="10" borderId="18" xfId="0" applyFont="1" applyFill="1" applyBorder="1" applyAlignment="1">
      <alignment horizontal="center" vertical="center" wrapText="1"/>
    </xf>
    <xf numFmtId="0" fontId="31" fillId="10" borderId="15" xfId="0" applyFont="1" applyFill="1" applyBorder="1" applyAlignment="1">
      <alignment horizontal="center" vertical="center" wrapText="1"/>
    </xf>
    <xf numFmtId="165" fontId="18" fillId="15" borderId="4" xfId="0" applyNumberFormat="1" applyFont="1" applyFill="1" applyBorder="1" applyAlignment="1">
      <alignment horizontal="center" vertical="center"/>
    </xf>
    <xf numFmtId="0" fontId="18" fillId="15" borderId="14" xfId="0" applyFont="1" applyFill="1" applyBorder="1" applyAlignment="1">
      <alignment horizontal="center" vertical="center"/>
    </xf>
    <xf numFmtId="0" fontId="66" fillId="20" borderId="0" xfId="0" applyFont="1" applyFill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0" fontId="32" fillId="10" borderId="3" xfId="0" applyFont="1" applyFill="1" applyBorder="1" applyAlignment="1">
      <alignment horizontal="center" vertical="center"/>
    </xf>
    <xf numFmtId="0" fontId="32" fillId="10" borderId="26" xfId="0" applyFont="1" applyFill="1" applyBorder="1" applyAlignment="1">
      <alignment horizontal="center" vertical="center"/>
    </xf>
    <xf numFmtId="0" fontId="30" fillId="10" borderId="10" xfId="0" applyFont="1" applyFill="1" applyBorder="1" applyAlignment="1">
      <alignment horizontal="center" vertical="center" wrapText="1"/>
    </xf>
    <xf numFmtId="0" fontId="30" fillId="10" borderId="25" xfId="0" applyFont="1" applyFill="1" applyBorder="1" applyAlignment="1">
      <alignment horizontal="center" vertical="center" wrapText="1"/>
    </xf>
    <xf numFmtId="0" fontId="30" fillId="10" borderId="6" xfId="0" applyFont="1" applyFill="1" applyBorder="1" applyAlignment="1">
      <alignment horizontal="center" vertical="center" wrapText="1"/>
    </xf>
    <xf numFmtId="0" fontId="30" fillId="10" borderId="0" xfId="0" applyFont="1" applyFill="1" applyAlignment="1">
      <alignment horizontal="center" vertical="center" wrapText="1"/>
    </xf>
    <xf numFmtId="8" fontId="18" fillId="14" borderId="4" xfId="0" applyNumberFormat="1" applyFont="1" applyFill="1" applyBorder="1" applyAlignment="1">
      <alignment horizontal="center" vertical="center"/>
    </xf>
    <xf numFmtId="0" fontId="18" fillId="14" borderId="29" xfId="0" applyFont="1" applyFill="1" applyBorder="1" applyAlignment="1">
      <alignment horizontal="center" vertical="center"/>
    </xf>
    <xf numFmtId="0" fontId="50" fillId="22" borderId="47" xfId="0" applyFont="1" applyFill="1" applyBorder="1" applyAlignment="1">
      <alignment horizontal="center"/>
    </xf>
    <xf numFmtId="0" fontId="51" fillId="21" borderId="48" xfId="0" applyFont="1" applyFill="1" applyBorder="1" applyAlignment="1">
      <alignment horizontal="center"/>
    </xf>
    <xf numFmtId="0" fontId="44" fillId="21" borderId="54" xfId="0" applyFont="1" applyFill="1" applyBorder="1" applyAlignment="1">
      <alignment horizontal="center"/>
    </xf>
    <xf numFmtId="0" fontId="4" fillId="3" borderId="54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61" fillId="20" borderId="0" xfId="0" applyFont="1" applyFill="1" applyAlignment="1">
      <alignment horizontal="left" vertical="top" wrapText="1"/>
    </xf>
    <xf numFmtId="165" fontId="42" fillId="21" borderId="29" xfId="0" applyNumberFormat="1" applyFont="1" applyFill="1" applyBorder="1" applyAlignment="1">
      <alignment horizontal="center" vertical="center"/>
    </xf>
    <xf numFmtId="165" fontId="42" fillId="21" borderId="14" xfId="0" applyNumberFormat="1" applyFont="1" applyFill="1" applyBorder="1" applyAlignment="1">
      <alignment horizontal="center" vertical="center"/>
    </xf>
    <xf numFmtId="165" fontId="42" fillId="20" borderId="20" xfId="0" applyNumberFormat="1" applyFont="1" applyFill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0" fontId="44" fillId="20" borderId="20" xfId="0" applyFont="1" applyFill="1" applyBorder="1" applyAlignment="1">
      <alignment horizontal="center" wrapText="1"/>
    </xf>
    <xf numFmtId="0" fontId="44" fillId="20" borderId="22" xfId="0" applyFont="1" applyFill="1" applyBorder="1" applyAlignment="1">
      <alignment horizontal="center" wrapText="1"/>
    </xf>
    <xf numFmtId="0" fontId="44" fillId="20" borderId="20" xfId="0" applyFont="1" applyFill="1" applyBorder="1" applyAlignment="1">
      <alignment horizontal="center"/>
    </xf>
    <xf numFmtId="0" fontId="44" fillId="20" borderId="21" xfId="0" applyFont="1" applyFill="1" applyBorder="1" applyAlignment="1">
      <alignment horizontal="center"/>
    </xf>
    <xf numFmtId="0" fontId="54" fillId="20" borderId="23" xfId="0" applyFont="1" applyFill="1" applyBorder="1" applyAlignment="1">
      <alignment horizontal="center"/>
    </xf>
    <xf numFmtId="0" fontId="14" fillId="16" borderId="28" xfId="0" applyFont="1" applyFill="1" applyBorder="1" applyAlignment="1">
      <alignment horizontal="center"/>
    </xf>
    <xf numFmtId="0" fontId="62" fillId="20" borderId="20" xfId="0" applyFont="1" applyFill="1" applyBorder="1" applyAlignment="1">
      <alignment horizontal="center"/>
    </xf>
    <xf numFmtId="0" fontId="62" fillId="20" borderId="21" xfId="0" applyFont="1" applyFill="1" applyBorder="1" applyAlignment="1">
      <alignment horizontal="center"/>
    </xf>
    <xf numFmtId="0" fontId="33" fillId="16" borderId="22" xfId="0" applyFont="1" applyFill="1" applyBorder="1" applyAlignment="1">
      <alignment horizontal="center"/>
    </xf>
    <xf numFmtId="10" fontId="42" fillId="21" borderId="29" xfId="0" applyNumberFormat="1" applyFont="1" applyFill="1" applyBorder="1" applyAlignment="1">
      <alignment horizontal="center" vertical="center"/>
    </xf>
    <xf numFmtId="10" fontId="42" fillId="21" borderId="14" xfId="0" applyNumberFormat="1" applyFont="1" applyFill="1" applyBorder="1" applyAlignment="1">
      <alignment horizontal="center" vertical="center"/>
    </xf>
    <xf numFmtId="165" fontId="44" fillId="20" borderId="20" xfId="0" applyNumberFormat="1" applyFont="1" applyFill="1" applyBorder="1" applyAlignment="1">
      <alignment horizontal="center"/>
    </xf>
    <xf numFmtId="165" fontId="44" fillId="20" borderId="21" xfId="0" applyNumberFormat="1" applyFont="1" applyFill="1" applyBorder="1" applyAlignment="1">
      <alignment horizontal="center"/>
    </xf>
    <xf numFmtId="0" fontId="44" fillId="20" borderId="3" xfId="0" applyFont="1" applyFill="1" applyBorder="1" applyAlignment="1">
      <alignment horizontal="center" vertical="center"/>
    </xf>
    <xf numFmtId="0" fontId="44" fillId="20" borderId="13" xfId="0" applyFont="1" applyFill="1" applyBorder="1" applyAlignment="1">
      <alignment horizontal="center" vertical="center"/>
    </xf>
    <xf numFmtId="8" fontId="42" fillId="20" borderId="20" xfId="0" applyNumberFormat="1" applyFont="1" applyFill="1" applyBorder="1" applyAlignment="1">
      <alignment horizontal="center"/>
    </xf>
    <xf numFmtId="8" fontId="0" fillId="0" borderId="22" xfId="0" applyNumberFormat="1" applyBorder="1" applyAlignment="1">
      <alignment horizontal="center"/>
    </xf>
    <xf numFmtId="0" fontId="58" fillId="20" borderId="0" xfId="0" applyFont="1" applyFill="1" applyAlignment="1">
      <alignment horizontal="center"/>
    </xf>
    <xf numFmtId="0" fontId="14" fillId="16" borderId="0" xfId="0" applyFont="1" applyFill="1" applyAlignment="1">
      <alignment horizontal="center"/>
    </xf>
    <xf numFmtId="0" fontId="60" fillId="20" borderId="76" xfId="0" applyFont="1" applyFill="1" applyBorder="1" applyAlignment="1">
      <alignment horizontal="center"/>
    </xf>
    <xf numFmtId="0" fontId="60" fillId="20" borderId="77" xfId="0" applyFont="1" applyFill="1" applyBorder="1" applyAlignment="1">
      <alignment horizontal="center"/>
    </xf>
    <xf numFmtId="0" fontId="60" fillId="20" borderId="78" xfId="0" applyFont="1" applyFill="1" applyBorder="1" applyAlignment="1">
      <alignment horizontal="center"/>
    </xf>
    <xf numFmtId="0" fontId="44" fillId="20" borderId="2" xfId="0" applyFont="1" applyFill="1" applyBorder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54" fillId="21" borderId="16" xfId="0" applyFont="1" applyFill="1" applyBorder="1" applyAlignment="1">
      <alignment horizontal="center" vertical="center" wrapText="1"/>
    </xf>
    <xf numFmtId="0" fontId="14" fillId="16" borderId="30" xfId="0" applyFont="1" applyFill="1" applyBorder="1" applyAlignment="1">
      <alignment horizontal="center" vertical="center" wrapText="1"/>
    </xf>
    <xf numFmtId="165" fontId="42" fillId="20" borderId="16" xfId="0" applyNumberFormat="1" applyFont="1" applyFill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0" fontId="44" fillId="20" borderId="23" xfId="0" applyFont="1" applyFill="1" applyBorder="1" applyAlignment="1">
      <alignment horizontal="center" vertical="top"/>
    </xf>
    <xf numFmtId="0" fontId="14" fillId="16" borderId="27" xfId="0" applyFont="1" applyFill="1" applyBorder="1" applyAlignment="1">
      <alignment horizontal="center" vertical="top"/>
    </xf>
    <xf numFmtId="0" fontId="14" fillId="16" borderId="81" xfId="0" applyFont="1" applyFill="1" applyBorder="1" applyAlignment="1">
      <alignment horizontal="center" vertical="top"/>
    </xf>
    <xf numFmtId="0" fontId="4" fillId="3" borderId="79" xfId="0" applyFont="1" applyFill="1" applyBorder="1" applyAlignment="1">
      <alignment horizontal="center"/>
    </xf>
    <xf numFmtId="165" fontId="42" fillId="21" borderId="3" xfId="0" applyNumberFormat="1" applyFont="1" applyFill="1" applyBorder="1" applyAlignment="1">
      <alignment horizontal="center"/>
    </xf>
    <xf numFmtId="165" fontId="42" fillId="21" borderId="13" xfId="0" applyNumberFormat="1" applyFont="1" applyFill="1" applyBorder="1" applyAlignment="1">
      <alignment horizontal="center"/>
    </xf>
    <xf numFmtId="0" fontId="54" fillId="22" borderId="79" xfId="0" applyFont="1" applyFill="1" applyBorder="1" applyAlignment="1">
      <alignment horizontal="left"/>
    </xf>
    <xf numFmtId="0" fontId="54" fillId="22" borderId="0" xfId="0" applyFont="1" applyFill="1" applyAlignment="1">
      <alignment horizontal="left"/>
    </xf>
  </cellXfs>
  <cellStyles count="4">
    <cellStyle name="Hiperlink" xfId="3" builtinId="8" customBuiltin="1"/>
    <cellStyle name="Hyperlink 1" xfId="1" xr:uid="{00000000-0005-0000-0000-000000000000}"/>
    <cellStyle name="Moeda" xfId="2" xr:uid="{00000000-0005-0000-0000-000001000000}"/>
    <cellStyle name="Normal" xfId="0" builtinId="0"/>
  </cellStyles>
  <dxfs count="22"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i/>
        <color rgb="FF00B05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i/>
        <color rgb="FF00B05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rgb="FF00B050"/>
      </font>
      <fill>
        <patternFill>
          <bgColor theme="3"/>
        </patternFill>
      </fill>
    </dxf>
    <dxf>
      <font>
        <color rgb="FFFF0000"/>
      </font>
    </dxf>
    <dxf>
      <font>
        <b/>
        <i/>
        <color rgb="FFFF0000"/>
      </font>
      <fill>
        <patternFill>
          <bgColor theme="1"/>
        </patternFill>
      </fill>
    </dxf>
    <dxf>
      <font>
        <b/>
        <i/>
        <color rgb="FF00B050"/>
      </font>
      <fill>
        <patternFill>
          <bgColor theme="1"/>
        </patternFill>
      </fill>
    </dxf>
    <dxf>
      <font>
        <b/>
        <i/>
        <color rgb="FF00B05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b/>
        <i val="0"/>
        <color theme="7" tint="0.39994506668294322"/>
      </font>
      <fill>
        <patternFill>
          <bgColor theme="1"/>
        </patternFill>
      </fill>
    </dxf>
    <dxf>
      <font>
        <b/>
        <i/>
        <color rgb="FF00B05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b/>
        <i val="0"/>
        <color theme="7" tint="0.39994506668294322"/>
      </font>
      <fill>
        <patternFill>
          <bgColor theme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77E3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F2CD"/>
      <rgbColor rgb="FFDAF2F4"/>
      <rgbColor rgb="FF660066"/>
      <rgbColor rgb="FFFF8080"/>
      <rgbColor rgb="FF0D5BDC"/>
      <rgbColor rgb="FFB5E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FD"/>
      <rgbColor rgb="FFD3F1DB"/>
      <rgbColor rgb="FFFFFF99"/>
      <rgbColor rgb="FF99CCFF"/>
      <rgbColor rgb="FFFF99CC"/>
      <rgbColor rgb="FFCC99FF"/>
      <rgbColor rgb="FFFBD9D7"/>
      <rgbColor rgb="FF1155CC"/>
      <rgbColor rgb="FF46BDC6"/>
      <rgbColor rgb="FF99CC00"/>
      <rgbColor rgb="FFFFCC00"/>
      <rgbColor rgb="FFFF9900"/>
      <rgbColor rgb="FFFF6600"/>
      <rgbColor rgb="FF666666"/>
      <rgbColor rgb="FF969696"/>
      <rgbColor rgb="FF003366"/>
      <rgbColor rgb="FF34A853"/>
      <rgbColor rgb="FF003300"/>
      <rgbColor rgb="FF222222"/>
      <rgbColor rgb="FF993300"/>
      <rgbColor rgb="FF993366"/>
      <rgbColor rgb="FF505050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r>
              <a:rPr lang="pt-BR"/>
              <a:t>Despesas por categoria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DASHBOARD!$F$13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DASHBOARD!$E$14:$E$22</c:f>
              <c:strCache>
                <c:ptCount val="9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Contas</c:v>
                </c:pt>
                <c:pt idx="4">
                  <c:v>Saúde</c:v>
                </c:pt>
                <c:pt idx="5">
                  <c:v>Lazer</c:v>
                </c:pt>
                <c:pt idx="6">
                  <c:v>Compras</c:v>
                </c:pt>
                <c:pt idx="7">
                  <c:v>Assinaturas</c:v>
                </c:pt>
                <c:pt idx="8">
                  <c:v>Outros</c:v>
                </c:pt>
              </c:strCache>
            </c:strRef>
          </c:cat>
          <c:val>
            <c:numRef>
              <c:f>DASHBOARD!$F$14:$F$22</c:f>
              <c:numCache>
                <c:formatCode>\R\$\ #,##0.00</c:formatCode>
                <c:ptCount val="9"/>
                <c:pt idx="0">
                  <c:v>1000</c:v>
                </c:pt>
                <c:pt idx="1">
                  <c:v>0</c:v>
                </c:pt>
                <c:pt idx="2">
                  <c:v>210</c:v>
                </c:pt>
                <c:pt idx="3">
                  <c:v>50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B-4676-9E0B-92B37B8FB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r>
                  <a:rPr lang="pt-BR"/>
                  <a:t>R$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/>
                  <a:t>Categoria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12</xdr:row>
      <xdr:rowOff>0</xdr:rowOff>
    </xdr:from>
    <xdr:ext cx="4320000" cy="252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1</xdr:col>
      <xdr:colOff>1123950</xdr:colOff>
      <xdr:row>40</xdr:row>
      <xdr:rowOff>114300</xdr:rowOff>
    </xdr:from>
    <xdr:to>
      <xdr:col>3</xdr:col>
      <xdr:colOff>935253</xdr:colOff>
      <xdr:row>60</xdr:row>
      <xdr:rowOff>20697</xdr:rowOff>
    </xdr:to>
    <xdr:pic>
      <xdr:nvPicPr>
        <xdr:cNvPr id="3" name="/xl/media/image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1209675" y="7743825"/>
          <a:ext cx="304800" cy="304800"/>
        </a:xfrm>
        <a:prstGeom prst="rect">
          <a:avLst/>
        </a:prstGeom>
        <a:noFill/>
      </xdr:spPr>
    </xdr:sp>
    <xdr:clientData/>
  </xdr:twoCellAnchor>
  <xdr:oneCellAnchor>
    <xdr:from>
      <xdr:col>1</xdr:col>
      <xdr:colOff>0</xdr:colOff>
      <xdr:row>43</xdr:row>
      <xdr:rowOff>0</xdr:rowOff>
    </xdr:from>
    <xdr:ext cx="304800" cy="308299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Grp="1"/>
        </xdr:cNvSpPr>
      </xdr:nvSpPr>
      <xdr:spPr>
        <a:xfrm>
          <a:off x="1209675" y="7915275"/>
          <a:ext cx="304800" cy="30829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44</xdr:row>
      <xdr:rowOff>0</xdr:rowOff>
    </xdr:from>
    <xdr:ext cx="304800" cy="308299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Grp="1"/>
        </xdr:cNvSpPr>
      </xdr:nvSpPr>
      <xdr:spPr>
        <a:xfrm>
          <a:off x="1209675" y="8086725"/>
          <a:ext cx="304800" cy="308299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8299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Grp="1"/>
        </xdr:cNvSpPr>
      </xdr:nvSpPr>
      <xdr:spPr>
        <a:xfrm>
          <a:off x="2219325" y="7743825"/>
          <a:ext cx="304800" cy="308299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8299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Grp="1"/>
        </xdr:cNvSpPr>
      </xdr:nvSpPr>
      <xdr:spPr>
        <a:xfrm>
          <a:off x="2219325" y="7915275"/>
          <a:ext cx="304800" cy="308299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8299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Grp="1"/>
        </xdr:cNvSpPr>
      </xdr:nvSpPr>
      <xdr:spPr>
        <a:xfrm>
          <a:off x="2219325" y="8086725"/>
          <a:ext cx="304800" cy="308299"/>
        </a:xfrm>
        <a:prstGeom prst="rect">
          <a:avLst/>
        </a:prstGeom>
        <a:noFill/>
      </xdr:spPr>
    </xdr:sp>
    <xdr:clientData/>
  </xdr:one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142875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Grp="1"/>
        </xdr:cNvSpPr>
      </xdr:nvSpPr>
      <xdr:spPr>
        <a:xfrm>
          <a:off x="2219325" y="79152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133350</xdr:rowOff>
    </xdr:to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Grp="1"/>
        </xdr:cNvSpPr>
      </xdr:nvSpPr>
      <xdr:spPr>
        <a:xfrm>
          <a:off x="1209675" y="80867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idor10.com.br/fiis/ggrc11/" TargetMode="External" 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dimension ref="A1:AC65"/>
  <sheetViews>
    <sheetView showGridLines="0" tabSelected="1" workbookViewId="0">
      <selection activeCell="A24" sqref="A24"/>
    </sheetView>
  </sheetViews>
  <sheetFormatPr defaultRowHeight="12.75" ns3:dyDescent="0.15"/>
  <cols>
    <col min="1" max="1" width="14.0234375" customWidth="1"/>
    <col min="2" max="2" width="24.00390625" customWidth="1"/>
    <col min="3" max="3" width="14.0234375" customWidth="1"/>
    <col min="4" max="4" width="24.00390625" customWidth="1"/>
    <col min="5" max="5" width="14.0234375" customWidth="1"/>
    <col min="6" max="6" width="24.00390625" customWidth="1"/>
    <col min="7" max="7" width="14.0234375" customWidth="1"/>
    <col min="8" max="8" width="24.00390625" customWidth="1"/>
    <col min="9" max="9" width="14.0234375" customWidth="1"/>
    <col min="10" max="10" width="24.00390625" customWidth="1"/>
    <col min="11" max="14" width="14.0234375" customWidth="1"/>
  </cols>
  <sheetData>
    <row r="1" spans="1:29" ns3:dyDescent="0.1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ht="30" ns3:dyDescent="0.35">
      <c r="A2" s="10"/>
      <c r="B2" s="181" t="s">
        <v>0</v>
      </c>
      <c r="C2" s="182"/>
      <c r="D2" s="182"/>
      <c r="E2" s="182"/>
      <c r="F2" s="182"/>
      <c r="G2" s="182"/>
      <c r="H2" s="182"/>
      <c r="I2" s="182"/>
      <c r="J2" s="182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ns3:dyDescent="0.15">
      <c r="A3" s="10"/>
      <c r="B3" s="183" t="s">
        <v>1</v>
      </c>
      <c r="C3" s="182"/>
      <c r="D3" s="182"/>
      <c r="E3" s="182"/>
      <c r="F3" s="182"/>
      <c r="G3" s="182"/>
      <c r="H3" s="182"/>
      <c r="I3" s="182"/>
      <c r="J3" s="182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spans="1:29" ns3:dyDescent="0.1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ns3:dyDescent="0.15">
      <c r="A5" s="10"/>
      <c r="B5" s="11" t="s">
        <v>2</v>
      </c>
      <c r="C5" s="12">
        <v>46266</v>
      </c>
      <c r="D5" s="10"/>
      <c r="E5" s="11" t="s">
        <v>3</v>
      </c>
      <c r="F5" s="13">
        <f>'CONTROLE LANCAMENTOS'!D25</f>
        <v>1535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ns3:dyDescent="0.1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ns3:dyDescent="0.15">
      <c r="A7" s="10"/>
      <c r="B7" s="184" t="s">
        <v>4</v>
      </c>
      <c r="C7" s="185"/>
      <c r="D7" s="10"/>
      <c r="E7" s="184" t="s">
        <v>5</v>
      </c>
      <c r="F7" s="185"/>
      <c r="G7" s="10"/>
      <c r="H7" s="184" t="s">
        <v>6</v>
      </c>
      <c r="I7" s="185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ns3:dyDescent="0.15">
      <c r="A8" s="10"/>
      <c r="B8" s="186">
        <f>F5-C14-C15</f>
        <v>0</v>
      </c>
      <c r="C8" s="187"/>
      <c r="D8" s="10"/>
      <c r="E8" s="198">
        <f>COUNTIF('CONTROLE LANCAMENTOS'!$J$18:$J$47,"DESPESA")</f>
        <v>15</v>
      </c>
      <c r="F8" s="187"/>
      <c r="G8" s="10"/>
      <c r="H8" s="192">
        <f>PATRIMÔNIO!$J$9</f>
        <v>31835.24</v>
      </c>
      <c r="I8" s="193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ns3:dyDescent="0.15">
      <c r="A9" s="10"/>
      <c r="B9" s="188"/>
      <c r="C9" s="189"/>
      <c r="D9" s="10"/>
      <c r="E9" s="188"/>
      <c r="F9" s="189"/>
      <c r="G9" s="10"/>
      <c r="H9" s="194"/>
      <c r="I9" s="195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ns3:dyDescent="0.15">
      <c r="A10" s="10"/>
      <c r="B10" s="190"/>
      <c r="C10" s="191"/>
      <c r="D10" s="10"/>
      <c r="E10" s="190"/>
      <c r="F10" s="191"/>
      <c r="G10" s="10"/>
      <c r="H10" s="196"/>
      <c r="I10" s="197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ns3:dyDescent="0.1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8" ns3:dyDescent="0.2">
      <c r="A12" s="10"/>
      <c r="B12" s="14" t="s">
        <v>7</v>
      </c>
      <c r="C12" s="10"/>
      <c r="D12" s="10"/>
      <c r="E12" s="14" t="s">
        <v>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ns3:dyDescent="0.15">
      <c r="A13" s="10"/>
      <c r="B13" s="10"/>
      <c r="C13" s="10"/>
      <c r="D13" s="10"/>
      <c r="E13" s="11" t="s">
        <v>9</v>
      </c>
      <c r="F13" s="11" t="s">
        <v>10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ns3:dyDescent="0.15">
      <c r="A14" s="10"/>
      <c r="B14" s="15" t="s">
        <v>11</v>
      </c>
      <c r="C14" s="13">
        <f>'CONTROLE LANCAMENTOS'!$K$50</f>
        <v>1385</v>
      </c>
      <c r="D14" s="10"/>
      <c r="E14" s="16" t="s">
        <v>12</v>
      </c>
      <c r="F14" s="17">
        <f>SUMIFS('CONTROLE LANCAMENTOS'!$K$18:$K$47,'CONTROLE LANCAMENTOS'!$I$18:$I$47,E14,'CONTROLE LANCAMENTOS'!$J$18:$J$47,"DESPESA")</f>
        <v>1000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ns3:dyDescent="0.15">
      <c r="A15" s="10"/>
      <c r="B15" s="15" t="s">
        <v>13</v>
      </c>
      <c r="C15" s="13">
        <f>PATRIMÔNIO!$J$10</f>
        <v>150</v>
      </c>
      <c r="D15" s="10"/>
      <c r="E15" s="16" t="s">
        <v>14</v>
      </c>
      <c r="F15" s="17">
        <f>SUMIFS('CONTROLE LANCAMENTOS'!$K$18:$K$47,'CONTROLE LANCAMENTOS'!$I$18:$I$47,E15,'CONTROLE LANCAMENTOS'!$J$18:$J$47,"DESPESA")</f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ns3:dyDescent="0.15">
      <c r="A16" s="10"/>
      <c r="B16" s="15" t="s">
        <v>15</v>
      </c>
      <c r="C16" s="13">
        <f>PATRIMÔNIO!C28</f>
        <v>31835.24</v>
      </c>
      <c r="D16" s="10"/>
      <c r="E16" s="16" t="s">
        <v>16</v>
      </c>
      <c r="F16" s="17">
        <f>SUMIFS('CONTROLE LANCAMENTOS'!$K$18:$K$47,'CONTROLE LANCAMENTOS'!$I$18:$I$47,E16,'CONTROLE LANCAMENTOS'!$J$18:$J$47,"DESPESA")</f>
        <v>210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ns3:dyDescent="0.15">
      <c r="A17" s="10"/>
      <c r="B17" s="15" t="s">
        <v>17</v>
      </c>
      <c r="C17" s="13">
        <f>PATRIMÔNIO!B28</f>
        <v>100000</v>
      </c>
      <c r="D17" s="10"/>
      <c r="E17" s="16" t="s">
        <v>18</v>
      </c>
      <c r="F17" s="17">
        <f>SUMIFS('CONTROLE LANCAMENTOS'!$K$18:$K$47,'CONTROLE LANCAMENTOS'!$I$18:$I$47,E17,'CONTROLE LANCAMENTOS'!$J$18:$J$47,"DESPESA")</f>
        <v>50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ns3:dyDescent="0.15">
      <c r="A18" s="10"/>
      <c r="B18" s="15" t="s">
        <v>19</v>
      </c>
      <c r="C18" s="13">
        <f>PATRIMÔNIO!D28</f>
        <v>68164.759999999995</v>
      </c>
      <c r="D18" s="10"/>
      <c r="E18" s="16" t="s">
        <v>20</v>
      </c>
      <c r="F18" s="17">
        <f>SUMIFS('CONTROLE LANCAMENTOS'!$K$18:$K$47,'CONTROLE LANCAMENTOS'!$I$18:$I$47,E18,'CONTROLE LANCAMENTOS'!$J$18:$J$47,"DESPESA")</f>
        <v>100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ns3:dyDescent="0.15">
      <c r="A19" s="10"/>
      <c r="B19" s="15" t="s">
        <v>21</v>
      </c>
      <c r="C19" s="18">
        <f>PATRIMÔNIO!F28</f>
        <v>0.31835240000000004</v>
      </c>
      <c r="D19" s="10"/>
      <c r="E19" s="16" t="s">
        <v>22</v>
      </c>
      <c r="F19" s="17">
        <f>SUMIFS('CONTROLE LANCAMENTOS'!$K$18:$K$47,'CONTROLE LANCAMENTOS'!$I$18:$I$47,E19,'CONTROLE LANCAMENTOS'!$J$18:$J$47,"DESPESA")</f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ns3:dyDescent="0.15">
      <c r="A20" s="10"/>
      <c r="B20" s="15" t="s">
        <v>23</v>
      </c>
      <c r="C20" s="13">
        <f ca="1">PATRIMÔNIO!G28</f>
        <v>1624.4943501025257</v>
      </c>
      <c r="D20" s="10"/>
      <c r="E20" s="16" t="s">
        <v>24</v>
      </c>
      <c r="F20" s="17">
        <f>SUMIFS('CONTROLE LANCAMENTOS'!$K$18:$K$47,'CONTROLE LANCAMENTOS'!$I$18:$I$47,E20,'CONTROLE LANCAMENTOS'!$J$18:$J$47,"DESPESA")</f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ns3:dyDescent="0.15">
      <c r="A21" s="10"/>
      <c r="B21" s="10"/>
      <c r="C21" s="10"/>
      <c r="D21" s="10"/>
      <c r="E21" s="16" t="s">
        <v>25</v>
      </c>
      <c r="F21" s="17">
        <f>SUMIFS('CONTROLE LANCAMENTOS'!$K$18:$K$47,'CONTROLE LANCAMENTOS'!$I$18:$I$47,E21,'CONTROLE LANCAMENTOS'!$J$18:$J$47,"DESPESA")</f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ns3:dyDescent="0.15">
      <c r="A22" s="10"/>
      <c r="B22" s="10"/>
      <c r="C22" s="10"/>
      <c r="D22" s="10"/>
      <c r="E22" s="16" t="s">
        <v>26</v>
      </c>
      <c r="F22" s="17">
        <f>SUMIFS('CONTROLE LANCAMENTOS'!$K$18:$K$47,'CONTROLE LANCAMENTOS'!$I$18:$I$47,E22,'CONTROLE LANCAMENTOS'!$J$18:$J$47,"DESPESA")</f>
        <v>25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1:29" ns3:dyDescent="0.1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ns3:dyDescent="0.1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ns3:dyDescent="0.1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1:29" ns3:dyDescent="0.1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ns3:dyDescent="0.1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ht="17.25" ns3:dyDescent="0.2">
      <c r="A28" s="10"/>
      <c r="B28" s="10"/>
      <c r="C28" s="10"/>
      <c r="D28" s="10"/>
      <c r="E28" s="10"/>
      <c r="F28" s="10"/>
      <c r="G28" s="10"/>
      <c r="H28" s="19" t="s">
        <v>27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ns3:dyDescent="0.15">
      <c r="A29" s="10"/>
      <c r="B29" s="10"/>
      <c r="C29" s="10"/>
      <c r="D29" s="10"/>
      <c r="E29" s="10"/>
      <c r="F29" s="10"/>
      <c r="G29" s="10"/>
      <c r="H29" s="11" t="str">
        <f>HYPERLINK("#'CONTROLE LANCAMENTOS'!A1","→ CONTROLE LANÇAMENTOS")</f>
        <v>→ CONTROLE LANÇAMENTOS</v>
      </c>
      <c r="I29" s="11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ns3:dyDescent="0.15">
      <c r="A30" s="10"/>
      <c r="B30" s="10"/>
      <c r="C30" s="10"/>
      <c r="D30" s="10"/>
      <c r="E30" s="10"/>
      <c r="F30" s="10"/>
      <c r="G30" s="10"/>
      <c r="H30" s="11" t="str">
        <v>→ PATRIMÔNIO</v>
        <f>HYPERLINK("#'PATRIMÔNIO'!A1","→ PATRIMÔNIO")</f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29" ns3:dyDescent="0.15">
      <c r="A31" s="10"/>
      <c r="B31" s="10"/>
      <c r="C31" s="10"/>
      <c r="D31" s="10"/>
      <c r="E31" s="10"/>
      <c r="F31" s="10"/>
      <c r="G31" s="10"/>
      <c r="H31" s="11" t="str">
        <v>→ APOSENTADORIA</v>
        <f>HYPERLINK("#'APOSENTADORIA'!A1","→ APOSENTADORIA")</f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ns3:dyDescent="0.1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1:29" ns3:dyDescent="0.1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ns3:dyDescent="0.1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ns3:dyDescent="0.1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ns3:dyDescent="0.1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1:29" ns3:dyDescent="0.1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29" ns3:dyDescent="0.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29" ns3:dyDescent="0.1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ns3:dyDescent="0.1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29" ht="12.75" customHeight="1" ns3:dyDescent="0.15">
      <c r="A41" s="10"/>
      <c r="B41" s="10"/>
      <c r="C41" s="10"/>
      <c r="D41" s="10"/>
      <c r="E41" s="179" t="s">
        <v>30</v>
      </c>
      <c r="F41" s="179"/>
      <c r="G41" s="179"/>
      <c r="H41" s="179"/>
      <c r="I41" s="179"/>
      <c r="J41" s="179"/>
      <c r="K41" s="179"/>
      <c r="L41" s="179"/>
      <c r="M41" s="17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29" ns3:dyDescent="0.15">
      <c r="A42" s="10"/>
      <c r="B42" s="10"/>
      <c r="C42" s="10"/>
      <c r="D42" s="10"/>
      <c r="E42" s="179"/>
      <c r="F42" s="179"/>
      <c r="G42" s="179"/>
      <c r="H42" s="179"/>
      <c r="I42" s="179"/>
      <c r="J42" s="179"/>
      <c r="K42" s="179"/>
      <c r="L42" s="179"/>
      <c r="M42" s="17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ns3:dyDescent="0.15">
      <c r="A43" s="10"/>
      <c r="B43" s="10"/>
      <c r="C43" s="10"/>
      <c r="D43" s="10"/>
      <c r="E43" s="179"/>
      <c r="F43" s="179"/>
      <c r="G43" s="179"/>
      <c r="H43" s="179"/>
      <c r="I43" s="179"/>
      <c r="J43" s="179"/>
      <c r="K43" s="179"/>
      <c r="L43" s="179"/>
      <c r="M43" s="17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29" ns3:dyDescent="0.15">
      <c r="A44" s="10"/>
      <c r="B44" s="10"/>
      <c r="C44" s="10"/>
      <c r="D44" s="10"/>
      <c r="E44" s="179"/>
      <c r="F44" s="179"/>
      <c r="G44" s="179"/>
      <c r="H44" s="179"/>
      <c r="I44" s="179"/>
      <c r="J44" s="179"/>
      <c r="K44" s="179"/>
      <c r="L44" s="179"/>
      <c r="M44" s="17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 ht="12.75" customHeight="1" ns3:dyDescent="0.15">
      <c r="A45" s="10"/>
      <c r="B45" s="10"/>
      <c r="C45" s="10"/>
      <c r="D45" s="10"/>
      <c r="E45" s="180" t="s">
        <v>31</v>
      </c>
      <c r="F45" s="180"/>
      <c r="G45" s="180"/>
      <c r="H45" s="180"/>
      <c r="I45" s="180"/>
      <c r="J45" s="180"/>
      <c r="K45" s="180"/>
      <c r="L45" s="180"/>
      <c r="M45" s="18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1:29" ns3:dyDescent="0.15">
      <c r="A46" s="10"/>
      <c r="B46" s="10"/>
      <c r="C46" s="10"/>
      <c r="D46" s="10"/>
      <c r="E46" s="180"/>
      <c r="F46" s="180"/>
      <c r="G46" s="180"/>
      <c r="H46" s="180"/>
      <c r="I46" s="180"/>
      <c r="J46" s="180"/>
      <c r="K46" s="180"/>
      <c r="L46" s="180"/>
      <c r="M46" s="18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29" ns3:dyDescent="0.15">
      <c r="A47" s="10"/>
      <c r="B47" s="10"/>
      <c r="C47" s="10"/>
      <c r="D47" s="10"/>
      <c r="E47" s="180"/>
      <c r="F47" s="180"/>
      <c r="G47" s="180"/>
      <c r="H47" s="180"/>
      <c r="I47" s="180"/>
      <c r="J47" s="180"/>
      <c r="K47" s="180"/>
      <c r="L47" s="180"/>
      <c r="M47" s="18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spans="1:29" ht="12.75" customHeight="1" ns3:dyDescent="0.15">
      <c r="A48" s="10"/>
      <c r="B48" s="10"/>
      <c r="C48" s="10"/>
      <c r="D48" s="10"/>
      <c r="E48" s="178" t="s">
        <v>32</v>
      </c>
      <c r="F48" s="178"/>
      <c r="G48" s="178"/>
      <c r="H48" s="178"/>
      <c r="I48" s="178"/>
      <c r="J48" s="178"/>
      <c r="K48" s="178"/>
      <c r="L48" s="178"/>
      <c r="M48" s="17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spans="1:29" ns3:dyDescent="0.15">
      <c r="A49" s="10"/>
      <c r="B49" s="10"/>
      <c r="C49" s="10"/>
      <c r="D49" s="10"/>
      <c r="E49" s="178"/>
      <c r="F49" s="178"/>
      <c r="G49" s="178"/>
      <c r="H49" s="178"/>
      <c r="I49" s="178"/>
      <c r="J49" s="178"/>
      <c r="K49" s="178"/>
      <c r="L49" s="178"/>
      <c r="M49" s="17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spans="1:29" ns3:dyDescent="0.15">
      <c r="A50" s="10"/>
      <c r="B50" s="10"/>
      <c r="C50" s="10"/>
      <c r="D50" s="10"/>
      <c r="E50" s="178"/>
      <c r="F50" s="178"/>
      <c r="G50" s="178"/>
      <c r="H50" s="178"/>
      <c r="I50" s="178"/>
      <c r="J50" s="178"/>
      <c r="K50" s="178"/>
      <c r="L50" s="178"/>
      <c r="M50" s="17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spans="1:29" ns3:dyDescent="0.1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spans="1:29" ht="12.75" customHeight="1" ns3:dyDescent="0.15">
      <c r="A52" s="10"/>
      <c r="B52" s="10"/>
      <c r="C52" s="10"/>
      <c r="D52" s="10"/>
      <c r="E52" s="178" t="s">
        <v>33</v>
      </c>
      <c r="F52" s="178"/>
      <c r="G52" s="178"/>
      <c r="H52" s="178"/>
      <c r="I52" s="178"/>
      <c r="J52" s="178"/>
      <c r="K52" s="178"/>
      <c r="L52" s="178"/>
      <c r="M52" s="17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spans="1:29" ns3:dyDescent="0.15">
      <c r="A53" s="10"/>
      <c r="B53" s="10"/>
      <c r="C53" s="10"/>
      <c r="D53" s="10"/>
      <c r="E53" s="178"/>
      <c r="F53" s="178"/>
      <c r="G53" s="178"/>
      <c r="H53" s="178"/>
      <c r="I53" s="178"/>
      <c r="J53" s="178"/>
      <c r="K53" s="178"/>
      <c r="L53" s="178"/>
      <c r="M53" s="17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ns3:dyDescent="0.1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ht="12.75" customHeight="1" ns3:dyDescent="0.15">
      <c r="A55" s="10"/>
      <c r="B55" s="10"/>
      <c r="C55" s="10"/>
      <c r="D55" s="10"/>
      <c r="E55" s="178" t="s">
        <v>34</v>
      </c>
      <c r="F55" s="178"/>
      <c r="G55" s="178"/>
      <c r="H55" s="178"/>
      <c r="I55" s="178"/>
      <c r="J55" s="178"/>
      <c r="K55" s="178"/>
      <c r="L55" s="178"/>
      <c r="M55" s="17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spans="1:29" ns3:dyDescent="0.15">
      <c r="A56" s="10"/>
      <c r="B56" s="10"/>
      <c r="C56" s="10"/>
      <c r="D56" s="10"/>
      <c r="E56" s="178"/>
      <c r="F56" s="178"/>
      <c r="G56" s="178"/>
      <c r="H56" s="178"/>
      <c r="I56" s="178"/>
      <c r="J56" s="178"/>
      <c r="K56" s="178"/>
      <c r="L56" s="178"/>
      <c r="M56" s="17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spans="1:29" ns3:dyDescent="0.15">
      <c r="A57" s="10"/>
      <c r="B57" s="10"/>
      <c r="C57" s="10"/>
      <c r="D57" s="10"/>
      <c r="E57" s="178"/>
      <c r="F57" s="178"/>
      <c r="G57" s="178"/>
      <c r="H57" s="178"/>
      <c r="I57" s="178"/>
      <c r="J57" s="178"/>
      <c r="K57" s="178"/>
      <c r="L57" s="178"/>
      <c r="M57" s="17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spans="1:29" ns3:dyDescent="0.1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spans="1:29" ht="12.75" customHeight="1" ns3:dyDescent="0.15">
      <c r="A59" s="10"/>
      <c r="B59" s="10"/>
      <c r="C59" s="10"/>
      <c r="D59" s="10"/>
      <c r="E59" s="178" t="s">
        <v>35</v>
      </c>
      <c r="F59" s="178"/>
      <c r="G59" s="178"/>
      <c r="H59" s="178"/>
      <c r="I59" s="178"/>
      <c r="J59" s="178"/>
      <c r="K59" s="178"/>
      <c r="L59" s="178"/>
      <c r="M59" s="17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spans="1:29" ns3:dyDescent="0.15">
      <c r="A60" s="10"/>
      <c r="B60" s="10"/>
      <c r="C60" s="10"/>
      <c r="D60" s="10"/>
      <c r="E60" s="178"/>
      <c r="F60" s="178"/>
      <c r="G60" s="178"/>
      <c r="H60" s="178"/>
      <c r="I60" s="178"/>
      <c r="J60" s="178"/>
      <c r="K60" s="178"/>
      <c r="L60" s="178"/>
      <c r="M60" s="17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ns3:dyDescent="0.15">
      <c r="A61" s="10"/>
      <c r="B61" s="10"/>
      <c r="C61" s="10"/>
      <c r="D61" s="10"/>
      <c r="E61" s="178"/>
      <c r="F61" s="178"/>
      <c r="G61" s="178"/>
      <c r="H61" s="178"/>
      <c r="I61" s="178"/>
      <c r="J61" s="178"/>
      <c r="K61" s="178"/>
      <c r="L61" s="178"/>
      <c r="M61" s="17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29" ns3:dyDescent="0.1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29" ns3:dyDescent="0.1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spans="1:29" ns3:dyDescent="0.1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spans="1:29" ns3:dyDescent="0.1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</sheetData>
  <mergeCells count="14">
    <mergeCell ref="B2:J2"/>
    <mergeCell ref="B3:J3"/>
    <mergeCell ref="B7:C7"/>
    <mergeCell ref="B8:C10"/>
    <mergeCell ref="E7:F7"/>
    <mergeCell ref="H7:I7"/>
    <mergeCell ref="H8:I10"/>
    <mergeCell ref="E8:F10"/>
    <mergeCell ref="E59:M61"/>
    <mergeCell ref="E41:M44"/>
    <mergeCell ref="E45:M47"/>
    <mergeCell ref="E48:M50"/>
    <mergeCell ref="E52:M53"/>
    <mergeCell ref="E55:M57"/>
  </mergeCells>
  <dataValidations count="1">
    <dataValidation type="list" allowBlank="1" showDropDown="1" sqref="C5">
      <formula1>"Janeiro/2026,Fevereiro/2026,Março/2026,Abril/2026,Maio/2026,Junho/2026,Julho/2026,Agosto/2026,Setembro/2026,Outubro/2026,Novembro/2026,Dezembro/2026"</formula1>
    </dataValidation>
  </dataValidations>
  <hyperlinks>
    <hyperlink ref="H30" location="PATRIMÔNIO!A1" display="→ PATRIMÔNIO" ns2:uid="{00000000-0004-0000-0000-000001000000}"/>
    <hyperlink ref="H29" location="'CONTROLE LANCAMENTOS'!A1" display="'CONTROLE LANCAMENTOS'!A1" ns2:uid="{00000000-0004-0000-0000-000000000000}"/>
    <hyperlink ref="H31" location="APOSENTADORIA!A1" display="→ APOSENTADORIA" ns2:uid="{508C2454-81FE-484E-99DE-B73BA1EA2EE8}"/>
  </hyperlinks>
  <pageMargins left="0.7" right="0.7" top="0.75" bottom="0.75" header="0.3" footer="0.3"/>
  <drawing ns4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100-000000000000}">
  <sheetPr>
    <tabColor rgb="FFA7A7B0"/>
  </sheetPr>
  <dimension ref="A1:AH89"/>
  <sheetViews>
    <sheetView showGridLines="0" topLeftCell="C19" workbookViewId="0">
      <selection activeCell="P32" sqref="P32"/>
    </sheetView>
  </sheetViews>
  <sheetFormatPr defaultColWidth="8.76171875" defaultRowHeight="12.75" ns3:dyDescent="0.15"/>
  <cols>
    <col min="1" max="1" width="9.9765625" customWidth="1"/>
    <col min="2" max="2" width="16.5859375" customWidth="1"/>
    <col min="3" max="3" width="18.87890625" customWidth="1"/>
    <col min="4" max="4" width="21.44140625" customWidth="1"/>
    <col min="5" max="5" width="14.29296875" customWidth="1"/>
    <col min="6" max="6" width="12.9453125" customWidth="1"/>
    <col min="7" max="7" width="9.9765625" customWidth="1"/>
    <col min="8" max="8" width="60.14453125" customWidth="1"/>
    <col min="9" max="9" width="17.80078125" customWidth="1"/>
    <col min="10" max="10" width="15.1015625" customWidth="1"/>
    <col min="11" max="11" width="11.8671875" customWidth="1"/>
    <col min="12" max="12" width="13.078125" customWidth="1"/>
    <col min="13" max="13" width="12.9453125" customWidth="1"/>
    <col min="14" max="14" width="9.9765625" customWidth="1"/>
    <col min="15" max="15" width="14.5625" customWidth="1"/>
    <col min="16" max="16" width="17.52734375" customWidth="1"/>
    <col min="17" max="17" width="12.5390625" customWidth="1"/>
    <col min="18" max="18" width="18.87890625" customWidth="1"/>
    <col min="19" max="19" width="22.51953125" customWidth="1"/>
    <col min="20" max="20" width="12.13671875" customWidth="1"/>
    <col min="21" max="21" width="17.6640625" customWidth="1"/>
    <col min="22" max="22" width="18.47265625" customWidth="1"/>
    <col min="23" max="23" width="11.8671875" customWidth="1"/>
    <col min="24" max="24" width="16.31640625" customWidth="1"/>
    <col min="25" max="25" width="12.5390625" customWidth="1"/>
    <col min="26" max="26" width="12.13671875" customWidth="1"/>
    <col min="27" max="27" width="13.34765625" customWidth="1"/>
    <col min="28" max="28" width="11.4609375" customWidth="1"/>
    <col min="29" max="29" width="11.73046875" customWidth="1"/>
    <col min="30" max="30" width="16.046875" customWidth="1"/>
    <col min="31" max="31" width="13.078125" customWidth="1"/>
    <col min="32" max="32" width="12.9453125" customWidth="1"/>
    <col min="33" max="33" width="14.29296875" customWidth="1"/>
    <col min="34" max="34" width="4.44921875" customWidth="1"/>
  </cols>
  <sheetData>
    <row r="1" spans="1:34" ns3:dyDescent="0.15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1:34" ht="12.75" customHeight="1" ns3:dyDescent="0.15">
      <c r="A2" s="231" t="s">
        <v>0</v>
      </c>
      <c r="B2" s="231"/>
      <c r="C2" s="231"/>
      <c r="D2" s="231"/>
      <c r="E2" s="232"/>
      <c r="F2" s="232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44"/>
      <c r="R2" s="44"/>
      <c r="S2" s="44"/>
    </row>
    <row r="3" spans="1:34" ht="12.75" customHeight="1" ns3:dyDescent="0.15">
      <c r="A3" s="231"/>
      <c r="B3" s="231"/>
      <c r="C3" s="231"/>
      <c r="D3" s="231"/>
      <c r="E3" s="232"/>
      <c r="F3" s="232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44"/>
      <c r="R3" s="44"/>
      <c r="S3" s="44"/>
    </row>
    <row r="4" spans="1:34" ht="12.75" customHeight="1" ns3:dyDescent="0.15">
      <c r="A4" s="231"/>
      <c r="B4" s="231"/>
      <c r="C4" s="231"/>
      <c r="D4" s="231"/>
      <c r="E4" s="232"/>
      <c r="F4" s="232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44"/>
      <c r="R4" s="44"/>
      <c r="S4" s="44"/>
    </row>
    <row r="5" spans="1:34" ht="25.5" customHeight="1" ns3:dyDescent="0.3">
      <c r="A5" s="84"/>
      <c r="B5" s="172"/>
      <c r="C5" s="172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</row>
    <row r="6" spans="1:34" ht="25.5" customHeight="1" ns3:dyDescent="0.15">
      <c r="A6" s="84"/>
      <c r="B6" s="245"/>
      <c r="C6" s="245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</row>
    <row r="7" spans="1:34" ht="12.75" customHeight="1" ns3:dyDescent="0.15">
      <c r="A7" s="84"/>
      <c r="B7" s="245"/>
      <c r="C7" s="245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</row>
    <row r="8" spans="1:34" ns3:dyDescent="0.1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</row>
    <row r="9" spans="1:34" ns3:dyDescent="0.1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</row>
    <row r="10" spans="1:34" ns3:dyDescent="0.15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</row>
    <row r="11" spans="1:34" ns3:dyDescent="0.15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</row>
    <row r="12" spans="1:34" ht="6" customHeight="1" ns3:dyDescent="0.1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</row>
    <row r="13" spans="1:34" ht="12.75" customHeight="1" ns3:dyDescent="0.1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</row>
    <row r="14" spans="1:34" ht="12.75" customHeight="1" ns3:dyDescent="0.1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25" t="s">
        <v>36</v>
      </c>
      <c r="L14" s="225"/>
      <c r="M14" s="225"/>
      <c r="N14" s="28"/>
      <c r="O14" s="28"/>
      <c r="P14" s="28"/>
      <c r="Q14" s="226" t="s">
        <v>37</v>
      </c>
      <c r="R14" s="226"/>
      <c r="S14" s="226"/>
      <c r="T14" s="28"/>
      <c r="U14" s="28"/>
      <c r="V14" s="28"/>
      <c r="W14" s="28"/>
      <c r="X14" s="28"/>
      <c r="Y14" s="28"/>
      <c r="Z14" s="226" t="s">
        <v>38</v>
      </c>
      <c r="AA14" s="226"/>
      <c r="AB14" s="226"/>
      <c r="AC14" s="28"/>
      <c r="AD14" s="28"/>
      <c r="AE14" s="28"/>
      <c r="AF14" s="28"/>
      <c r="AG14" s="28"/>
      <c r="AH14" s="28"/>
    </row>
    <row r="15" spans="1:34" ht="17.45" customHeight="1" ns3:dyDescent="0.2">
      <c r="A15" s="227" t="s">
        <v>39</v>
      </c>
      <c r="B15" s="228"/>
      <c r="C15" s="228"/>
      <c r="D15" s="229"/>
      <c r="E15" s="28"/>
      <c r="F15" s="28"/>
      <c r="G15" s="234" t="s">
        <v>40</v>
      </c>
      <c r="H15" s="235"/>
      <c r="I15" s="235"/>
      <c r="J15" s="235"/>
      <c r="K15" s="235"/>
      <c r="L15" s="235"/>
      <c r="M15" s="235"/>
      <c r="N15" s="236"/>
      <c r="O15" s="28"/>
      <c r="P15" s="28"/>
      <c r="Q15" s="230" t="s">
        <v>41</v>
      </c>
      <c r="R15" s="230"/>
      <c r="S15" s="28"/>
      <c r="T15" s="230" t="s">
        <v>42</v>
      </c>
      <c r="U15" s="230"/>
      <c r="V15" s="28"/>
      <c r="W15" s="230" t="s">
        <v>43</v>
      </c>
      <c r="X15" s="230"/>
      <c r="Y15" s="28"/>
      <c r="Z15" s="230" t="s">
        <v>41</v>
      </c>
      <c r="AA15" s="230"/>
      <c r="AB15" s="28"/>
      <c r="AC15" s="230" t="s">
        <v>42</v>
      </c>
      <c r="AD15" s="230"/>
      <c r="AE15" s="28"/>
      <c r="AF15" s="230" t="s">
        <v>43</v>
      </c>
      <c r="AG15" s="230"/>
      <c r="AH15" s="28"/>
    </row>
    <row r="16" spans="1:34" ht="22.5" customHeight="1" ns3:dyDescent="0.15">
      <c r="A16" s="248" t="s">
        <v>44</v>
      </c>
      <c r="B16" s="249"/>
      <c r="C16" s="249"/>
      <c r="D16" s="47" t="s">
        <v>10</v>
      </c>
      <c r="E16" s="28"/>
      <c r="F16" s="28"/>
      <c r="G16" s="57" t="s">
        <v>45</v>
      </c>
      <c r="H16" s="51" t="s">
        <v>44</v>
      </c>
      <c r="I16" s="51" t="s">
        <v>9</v>
      </c>
      <c r="J16" s="51" t="s">
        <v>46</v>
      </c>
      <c r="K16" s="52" t="s">
        <v>10</v>
      </c>
      <c r="L16" s="51" t="s">
        <v>47</v>
      </c>
      <c r="M16" s="51" t="s">
        <v>48</v>
      </c>
      <c r="N16" s="58" t="str">
        <f t="shared" ref="N16:N50" si="0">IF(G16="","",TEXT(G16,"mm/yyyy"))</f>
        <v>DATA</v>
      </c>
      <c r="O16" s="28"/>
      <c r="P16" s="28"/>
      <c r="Q16" s="201" t="s">
        <v>49</v>
      </c>
      <c r="R16" s="224">
        <v>7717.91</v>
      </c>
      <c r="S16" s="28"/>
      <c r="T16" s="201" t="s">
        <v>49</v>
      </c>
      <c r="U16" s="224">
        <v>4760</v>
      </c>
      <c r="V16" s="28"/>
      <c r="W16" s="201" t="s">
        <v>49</v>
      </c>
      <c r="X16" s="218">
        <v>6665</v>
      </c>
      <c r="Y16" s="28"/>
      <c r="Z16" s="212" t="s">
        <v>50</v>
      </c>
      <c r="AA16" s="212" t="s">
        <v>51</v>
      </c>
      <c r="AB16" s="28"/>
      <c r="AC16" s="213" t="s">
        <v>52</v>
      </c>
      <c r="AD16" s="212" t="s">
        <v>53</v>
      </c>
      <c r="AE16" s="28"/>
      <c r="AF16" s="213" t="s">
        <v>54</v>
      </c>
      <c r="AG16" s="203" t="s">
        <v>55</v>
      </c>
      <c r="AH16" s="28"/>
    </row>
    <row r="17" spans="1:34" ht="12.75" customHeight="1" ns3:dyDescent="0.15">
      <c r="A17" s="216" t="s">
        <v>56</v>
      </c>
      <c r="B17" s="217"/>
      <c r="C17" s="217"/>
      <c r="D17" s="32">
        <v>1535</v>
      </c>
      <c r="E17" s="28"/>
      <c r="F17" s="28"/>
      <c r="G17" s="219" t="s">
        <v>57</v>
      </c>
      <c r="H17" s="220"/>
      <c r="I17" s="221"/>
      <c r="J17" s="221"/>
      <c r="K17" s="222"/>
      <c r="L17" s="221"/>
      <c r="M17" s="221"/>
      <c r="N17" s="223" t="str">
        <f t="shared" si="0"/>
        <v>ESSENCIAIS</v>
      </c>
      <c r="O17" s="28"/>
      <c r="P17" s="28"/>
      <c r="Q17" s="201"/>
      <c r="R17" s="224"/>
      <c r="S17" s="28"/>
      <c r="T17" s="201"/>
      <c r="U17" s="224"/>
      <c r="V17" s="28"/>
      <c r="W17" s="201"/>
      <c r="X17" s="218"/>
      <c r="Y17" s="28"/>
      <c r="Z17" s="212"/>
      <c r="AA17" s="212"/>
      <c r="AB17" s="28"/>
      <c r="AC17" s="213"/>
      <c r="AD17" s="212"/>
      <c r="AE17" s="28"/>
      <c r="AF17" s="213"/>
      <c r="AG17" s="203"/>
      <c r="AH17" s="28"/>
    </row>
    <row r="18" spans="1:34" ht="12.75" customHeight="1" ns3:dyDescent="0.15">
      <c r="A18" s="33" t="s">
        <v>58</v>
      </c>
      <c r="D18" s="34">
        <v>0</v>
      </c>
      <c r="E18" s="28"/>
      <c r="F18" s="28"/>
      <c r="G18" s="59"/>
      <c r="H18" s="53" t="s">
        <v>59</v>
      </c>
      <c r="I18" s="54" t="s">
        <v>12</v>
      </c>
      <c r="J18" s="54" t="s">
        <v>60</v>
      </c>
      <c r="K18" s="55">
        <v>1000</v>
      </c>
      <c r="L18" s="54"/>
      <c r="M18" s="54" t="s">
        <v>61</v>
      </c>
      <c r="N18" s="72" t="str">
        <f t="shared" si="0"/>
        <v/>
      </c>
      <c r="O18" s="28"/>
      <c r="P18" s="28"/>
      <c r="Q18" s="201"/>
      <c r="R18" s="224"/>
      <c r="S18" s="28"/>
      <c r="T18" s="201"/>
      <c r="U18" s="224"/>
      <c r="V18" s="28"/>
      <c r="W18" s="201"/>
      <c r="X18" s="218"/>
      <c r="Y18" s="28"/>
      <c r="Z18" s="35"/>
      <c r="AA18" s="35"/>
      <c r="AB18" s="28"/>
      <c r="AC18" s="35"/>
      <c r="AD18" s="31"/>
      <c r="AE18" s="28"/>
      <c r="AF18" s="213"/>
      <c r="AG18" s="212" t="s">
        <v>62</v>
      </c>
      <c r="AH18" s="28"/>
    </row>
    <row r="19" spans="1:34" ht="13.5" customHeight="1" ns3:dyDescent="0.15">
      <c r="A19" s="33" t="s">
        <v>63</v>
      </c>
      <c r="D19" s="34">
        <v>0</v>
      </c>
      <c r="E19" s="28"/>
      <c r="F19" s="28"/>
      <c r="G19" s="59"/>
      <c r="H19" s="53" t="s">
        <v>64</v>
      </c>
      <c r="I19" s="54" t="s">
        <v>18</v>
      </c>
      <c r="J19" s="54" t="str">
        <v>DESPESA</v>
      </c>
      <c r="K19" s="55">
        <v>0</v>
      </c>
      <c r="L19" s="54"/>
      <c r="M19" s="54" t="s">
        <v>254</v>
      </c>
      <c r="N19" s="72" t="str">
        <f t="shared" si="0"/>
        <v/>
      </c>
      <c r="O19" s="28"/>
      <c r="P19" s="28"/>
      <c r="Q19" s="201"/>
      <c r="R19" s="224"/>
      <c r="S19" s="28"/>
      <c r="T19" s="201"/>
      <c r="U19" s="224"/>
      <c r="V19" s="28"/>
      <c r="W19" s="201"/>
      <c r="X19" s="218"/>
      <c r="Y19" s="28"/>
      <c r="Z19" s="35"/>
      <c r="AA19" s="35"/>
      <c r="AB19" s="28"/>
      <c r="AC19" s="35"/>
      <c r="AD19" s="31"/>
      <c r="AE19" s="28"/>
      <c r="AF19" s="213"/>
      <c r="AG19" s="212"/>
      <c r="AH19" s="28"/>
    </row>
    <row r="20" spans="1:34" ht="13.5" customHeight="1" ns3:dyDescent="0.15">
      <c r="A20" s="33" t="s">
        <v>65</v>
      </c>
      <c r="D20" s="34">
        <v>0</v>
      </c>
      <c r="E20" s="28"/>
      <c r="F20" s="28"/>
      <c r="G20" s="59"/>
      <c r="H20" s="53" t="s">
        <v>66</v>
      </c>
      <c r="I20" s="54" t="s">
        <v>14</v>
      </c>
      <c r="J20" s="54" t="s">
        <v>60</v>
      </c>
      <c r="K20" s="55">
        <v>0</v>
      </c>
      <c r="L20" s="54"/>
      <c r="M20" s="54" t="s">
        <v>61</v>
      </c>
      <c r="N20" s="72" t="str">
        <f t="shared" si="0"/>
        <v/>
      </c>
      <c r="O20" s="28"/>
      <c r="P20" s="28"/>
      <c r="Q20" s="201"/>
      <c r="R20" s="224"/>
      <c r="S20" s="28"/>
      <c r="T20" s="201"/>
      <c r="U20" s="224"/>
      <c r="V20" s="28"/>
      <c r="W20" s="201"/>
      <c r="X20" s="218"/>
      <c r="Y20" s="28"/>
      <c r="Z20" s="35"/>
      <c r="AA20" s="35"/>
      <c r="AB20" s="28"/>
      <c r="AC20" s="35"/>
      <c r="AD20" s="31"/>
      <c r="AE20" s="28"/>
      <c r="AF20" s="213"/>
      <c r="AG20" s="212"/>
      <c r="AH20" s="28"/>
    </row>
    <row r="21" spans="1:34" ht="13.5" customHeight="1" ns3:dyDescent="0.15">
      <c r="A21" s="36" t="s">
        <v>67</v>
      </c>
      <c r="B21" s="37"/>
      <c r="D21" s="34">
        <v>0</v>
      </c>
      <c r="E21" s="28"/>
      <c r="F21" s="28"/>
      <c r="G21" s="59"/>
      <c r="H21" s="53" t="s">
        <v>68</v>
      </c>
      <c r="I21" s="54" t="s">
        <v>18</v>
      </c>
      <c r="J21" s="54" t="s">
        <v>60</v>
      </c>
      <c r="K21" s="55">
        <v>0</v>
      </c>
      <c r="L21" s="54"/>
      <c r="M21" s="54" t="s">
        <v>61</v>
      </c>
      <c r="N21" s="72" t="str">
        <f t="shared" si="0"/>
        <v/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t="s">
        <v>49</v>
      </c>
      <c r="AA21" s="38">
        <v>198</v>
      </c>
      <c r="AB21" s="28"/>
      <c r="AC21" s="30" t="s">
        <v>49</v>
      </c>
      <c r="AD21" s="38">
        <v>220</v>
      </c>
      <c r="AE21" s="28"/>
      <c r="AF21" t="s">
        <v>49</v>
      </c>
      <c r="AG21" s="2">
        <v>1686</v>
      </c>
      <c r="AH21" s="28"/>
    </row>
    <row r="22" spans="1:34" ht="12.75" customHeight="1" ns3:dyDescent="0.15">
      <c r="A22" s="33" t="s">
        <v>58</v>
      </c>
      <c r="D22" s="34">
        <v>0</v>
      </c>
      <c r="E22" s="28"/>
      <c r="F22" s="28"/>
      <c r="G22" s="59"/>
      <c r="H22" s="53" t="s">
        <v>69</v>
      </c>
      <c r="I22" s="54" t="s">
        <v>18</v>
      </c>
      <c r="J22" s="54" t="s">
        <v>60</v>
      </c>
      <c r="K22" s="55">
        <v>0</v>
      </c>
      <c r="L22" s="54"/>
      <c r="M22" s="54" t="s">
        <v>61</v>
      </c>
      <c r="N22" s="72" t="str">
        <f t="shared" si="0"/>
        <v/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</row>
    <row r="23" spans="1:34" ht="12.75" customHeight="1" ns3:dyDescent="0.15">
      <c r="A23" s="33" t="s">
        <v>63</v>
      </c>
      <c r="D23" s="34">
        <v>0</v>
      </c>
      <c r="E23" s="28"/>
      <c r="F23" s="28"/>
      <c r="G23" s="59"/>
      <c r="H23" s="53" t="s">
        <v>70</v>
      </c>
      <c r="I23" s="54" t="s">
        <v>18</v>
      </c>
      <c r="J23" s="54" t="s">
        <v>60</v>
      </c>
      <c r="K23" s="55">
        <v>0</v>
      </c>
      <c r="L23" s="54"/>
      <c r="M23" s="54" t="s">
        <v>61</v>
      </c>
      <c r="N23" s="72" t="str">
        <f t="shared" si="0"/>
        <v/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</row>
    <row r="24" spans="1:34" ht="12.75" customHeight="1" ns3:dyDescent="0.15">
      <c r="A24" s="33" t="s">
        <v>65</v>
      </c>
      <c r="D24" s="39">
        <v>0</v>
      </c>
      <c r="E24" s="28"/>
      <c r="F24" s="28"/>
      <c r="G24" s="59"/>
      <c r="H24" s="53" t="s">
        <v>71</v>
      </c>
      <c r="I24" s="54" t="s">
        <v>18</v>
      </c>
      <c r="J24" s="54" t="s">
        <v>60</v>
      </c>
      <c r="K24" s="55">
        <v>0</v>
      </c>
      <c r="L24" s="54"/>
      <c r="M24" s="54" t="s">
        <v>61</v>
      </c>
      <c r="N24" s="72" t="str">
        <f t="shared" si="0"/>
        <v/>
      </c>
      <c r="O24" s="28"/>
      <c r="P24" s="28"/>
      <c r="Q24" s="200" t="s">
        <v>72</v>
      </c>
      <c r="R24" s="200"/>
      <c r="S24" s="28"/>
      <c r="T24" s="200" t="s">
        <v>73</v>
      </c>
      <c r="U24" s="200"/>
      <c r="V24" s="28"/>
      <c r="W24" s="200" t="s">
        <v>74</v>
      </c>
      <c r="X24" s="200"/>
      <c r="Y24" s="28"/>
      <c r="Z24" s="200" t="s">
        <v>72</v>
      </c>
      <c r="AA24" s="200"/>
      <c r="AB24" s="28"/>
      <c r="AC24" s="200" t="s">
        <v>73</v>
      </c>
      <c r="AD24" s="200"/>
      <c r="AE24" s="28"/>
      <c r="AF24" s="200" t="s">
        <v>74</v>
      </c>
      <c r="AG24" s="200"/>
      <c r="AH24" s="28"/>
    </row>
    <row r="25" spans="1:34" ht="17.25" customHeight="1" ns3:dyDescent="0.15">
      <c r="A25" s="246" t="s">
        <v>75</v>
      </c>
      <c r="B25" s="247"/>
      <c r="C25" s="247"/>
      <c r="D25" s="46">
        <f>SUM(D17:D24)</f>
        <v>1535</v>
      </c>
      <c r="E25" s="28"/>
      <c r="F25" s="28"/>
      <c r="G25" s="59"/>
      <c r="H25" s="53" t="s">
        <v>76</v>
      </c>
      <c r="I25" s="54" t="s">
        <v>20</v>
      </c>
      <c r="J25" s="54" t="s">
        <v>60</v>
      </c>
      <c r="K25" s="55">
        <v>100</v>
      </c>
      <c r="L25" s="54"/>
      <c r="M25" s="54" t="s">
        <v>61</v>
      </c>
      <c r="N25" s="72" t="str">
        <f t="shared" si="0"/>
        <v/>
      </c>
      <c r="O25" s="28"/>
      <c r="P25" s="28"/>
      <c r="Q25" s="201" t="s">
        <v>49</v>
      </c>
      <c r="R25" s="218">
        <v>1530</v>
      </c>
      <c r="S25" s="28"/>
      <c r="T25" s="201" t="s">
        <v>49</v>
      </c>
      <c r="U25" s="218">
        <v>1535</v>
      </c>
      <c r="V25" s="28"/>
      <c r="W25" s="201" t="s">
        <v>49</v>
      </c>
      <c r="X25" s="218">
        <v>1535</v>
      </c>
      <c r="Y25" s="28"/>
      <c r="Z25" s="213" t="s">
        <v>77</v>
      </c>
      <c r="AA25" s="214"/>
      <c r="AB25" s="28"/>
      <c r="AC25" s="215"/>
      <c r="AD25" s="214"/>
      <c r="AE25" s="28"/>
      <c r="AF25" s="213" t="s">
        <v>78</v>
      </c>
      <c r="AG25" s="203" t="s">
        <v>79</v>
      </c>
      <c r="AH25" s="28"/>
    </row>
    <row r="26" spans="1:34" ht="15" customHeight="1" ns3:dyDescent="0.15">
      <c r="A26" s="28"/>
      <c r="B26" s="28"/>
      <c r="C26" s="28"/>
      <c r="D26" s="28"/>
      <c r="E26" s="28"/>
      <c r="F26" s="28"/>
      <c r="G26" s="59"/>
      <c r="H26" s="56" t="s">
        <v>80</v>
      </c>
      <c r="I26" s="54" t="s">
        <v>26</v>
      </c>
      <c r="J26" s="54" t="str">
        <v>DESPESA</v>
      </c>
      <c r="K26" s="55">
        <v>0</v>
      </c>
      <c r="L26" s="54"/>
      <c r="M26" s="54" t="s">
        <v>61</v>
      </c>
      <c r="N26" s="72" t="str">
        <f t="shared" si="0"/>
        <v/>
      </c>
      <c r="O26" s="28"/>
      <c r="P26" s="28"/>
      <c r="Q26" s="201"/>
      <c r="R26" s="218"/>
      <c r="S26" s="28"/>
      <c r="T26" s="201"/>
      <c r="U26" s="218"/>
      <c r="V26" s="28"/>
      <c r="W26" s="201"/>
      <c r="X26" s="218"/>
      <c r="Y26" s="28"/>
      <c r="Z26" s="213"/>
      <c r="AA26" s="214"/>
      <c r="AB26" s="28"/>
      <c r="AC26" s="215"/>
      <c r="AD26" s="214"/>
      <c r="AE26" s="28"/>
      <c r="AF26" s="213"/>
      <c r="AG26" s="203"/>
      <c r="AH26" s="28"/>
    </row>
    <row r="27" spans="1:34" ht="13.5" customHeight="1" ns3:dyDescent="0.15">
      <c r="A27" s="28"/>
      <c r="B27" s="28"/>
      <c r="C27" s="28"/>
      <c r="D27" s="28"/>
      <c r="E27" s="28"/>
      <c r="F27" s="28"/>
      <c r="G27" s="174"/>
      <c r="H27" s="175" t="s">
        <v>81</v>
      </c>
      <c r="I27" s="176" t="s">
        <v>26</v>
      </c>
      <c r="J27" s="176" t="str">
        <v>DESPESA</v>
      </c>
      <c r="K27" s="177">
        <v>0</v>
      </c>
      <c r="L27" s="176"/>
      <c r="M27" s="54" t="s">
        <v>61</v>
      </c>
      <c r="N27" s="72" t="str">
        <f t="shared" si="0"/>
        <v/>
      </c>
      <c r="O27" s="28"/>
      <c r="P27" s="28"/>
      <c r="Q27" s="201"/>
      <c r="R27" s="218"/>
      <c r="S27" s="28"/>
      <c r="T27" s="201"/>
      <c r="U27" s="218"/>
      <c r="V27" s="28"/>
      <c r="W27" s="201"/>
      <c r="X27" s="218"/>
      <c r="Y27" s="28"/>
      <c r="Z27" s="213"/>
      <c r="AA27" s="214"/>
      <c r="AB27" s="28"/>
      <c r="AC27" s="215"/>
      <c r="AD27" s="214"/>
      <c r="AE27" s="28"/>
      <c r="AF27" s="213" t="s">
        <v>82</v>
      </c>
      <c r="AG27" s="203"/>
      <c r="AH27" s="28"/>
    </row>
    <row r="28" spans="1:34" ht="13.5" customHeight="1" ns3:dyDescent="0.15">
      <c r="A28" s="28"/>
      <c r="B28" s="28"/>
      <c r="C28" s="28"/>
      <c r="D28" s="28"/>
      <c r="E28" s="28"/>
      <c r="F28" s="28"/>
      <c r="G28" s="59"/>
      <c r="H28" s="53" t="s">
        <v>83</v>
      </c>
      <c r="I28" s="54" t="s">
        <v>26</v>
      </c>
      <c r="J28" s="54" t="str">
        <v>DESPESA</v>
      </c>
      <c r="K28" s="55">
        <v>0</v>
      </c>
      <c r="L28" s="54"/>
      <c r="M28" s="54" t="s">
        <v>61</v>
      </c>
      <c r="N28" s="72" t="str">
        <f t="shared" si="0"/>
        <v/>
      </c>
      <c r="O28" s="28"/>
      <c r="P28" s="28"/>
      <c r="Q28" s="201"/>
      <c r="R28" s="218"/>
      <c r="S28" s="28"/>
      <c r="T28" s="201"/>
      <c r="U28" s="218"/>
      <c r="V28" s="28"/>
      <c r="W28" s="201"/>
      <c r="X28" s="218"/>
      <c r="Y28" s="28"/>
      <c r="Z28" s="214"/>
      <c r="AA28" s="214"/>
      <c r="AB28" s="28"/>
      <c r="AC28" s="215"/>
      <c r="AD28" s="214"/>
      <c r="AE28" s="28"/>
      <c r="AF28" s="213"/>
      <c r="AG28" s="214"/>
      <c r="AH28" s="28"/>
    </row>
    <row r="29" spans="1:34" ht="13.5" customHeight="1" ns3:dyDescent="0.15">
      <c r="A29" s="250" t="s">
        <v>84</v>
      </c>
      <c r="B29" s="251"/>
      <c r="C29" s="251"/>
      <c r="D29" s="254">
        <f>D25-K50</f>
        <v>150</v>
      </c>
      <c r="E29" s="28"/>
      <c r="F29" s="28"/>
      <c r="G29" s="59"/>
      <c r="H29" s="53" t="s">
        <v>85</v>
      </c>
      <c r="I29" s="54" t="s">
        <v>26</v>
      </c>
      <c r="J29" s="54" t="str">
        <v>DESPESA</v>
      </c>
      <c r="K29" s="55">
        <v>0</v>
      </c>
      <c r="L29" s="54"/>
      <c r="M29" s="54" t="s">
        <v>61</v>
      </c>
      <c r="N29" s="72" t="str">
        <f t="shared" si="0"/>
        <v/>
      </c>
      <c r="O29" s="28"/>
      <c r="P29" s="28"/>
      <c r="Q29" s="201"/>
      <c r="R29" s="218"/>
      <c r="S29" s="28"/>
      <c r="T29" s="201"/>
      <c r="U29" s="218"/>
      <c r="V29" s="28"/>
      <c r="W29" s="201"/>
      <c r="X29" s="218"/>
      <c r="Y29" s="28"/>
      <c r="Z29" s="214"/>
      <c r="AA29" s="214"/>
      <c r="AB29" s="28"/>
      <c r="AC29" s="215"/>
      <c r="AD29" s="214"/>
      <c r="AE29" s="28"/>
      <c r="AF29" s="213"/>
      <c r="AG29" s="214"/>
      <c r="AH29" s="28"/>
    </row>
    <row r="30" spans="1:34" ht="13.5" customHeight="1" ns3:dyDescent="0.15">
      <c r="A30" s="252"/>
      <c r="B30" s="253"/>
      <c r="C30" s="253"/>
      <c r="D30" s="255"/>
      <c r="E30" s="28"/>
      <c r="F30" s="28"/>
      <c r="G30" s="219" t="s">
        <v>86</v>
      </c>
      <c r="H30" s="220"/>
      <c r="I30" s="221"/>
      <c r="J30" s="221"/>
      <c r="K30" s="222"/>
      <c r="L30" s="221"/>
      <c r="M30" s="221"/>
      <c r="N30" s="223" t="str">
        <f t="shared" si="0"/>
        <v>NÃO ESSENCIAIS</v>
      </c>
      <c r="O30" s="28"/>
      <c r="P30" s="28"/>
      <c r="Q30" s="201"/>
      <c r="R30" s="218"/>
      <c r="S30" s="28"/>
      <c r="T30" s="201"/>
      <c r="U30" s="218"/>
      <c r="V30" s="28"/>
      <c r="W30" s="201"/>
      <c r="X30" s="218"/>
      <c r="Y30" s="28"/>
      <c r="Z30" s="214"/>
      <c r="AA30" s="214"/>
      <c r="AB30" s="28"/>
      <c r="AC30" s="215"/>
      <c r="AD30" s="214"/>
      <c r="AE30" s="28"/>
      <c r="AF30" s="213"/>
      <c r="AG30" s="214"/>
      <c r="AH30" s="28"/>
    </row>
    <row r="31" spans="1:34" ht="13.5" customHeight="1" ns3:dyDescent="0.15">
      <c r="A31" s="237" t="s">
        <v>87</v>
      </c>
      <c r="B31" s="238"/>
      <c r="C31" s="239"/>
      <c r="D31" s="243">
        <f>K50*12</f>
        <v>16620</v>
      </c>
      <c r="E31" s="28"/>
      <c r="F31" s="28"/>
      <c r="G31" s="59"/>
      <c r="H31" s="53" t="s">
        <v>88</v>
      </c>
      <c r="I31" s="54" t="s">
        <v>26</v>
      </c>
      <c r="J31" s="74" t="str">
        <v>DESPESA</v>
      </c>
      <c r="K31" s="55">
        <v>0</v>
      </c>
      <c r="L31" s="54"/>
      <c r="M31" s="54"/>
      <c r="N31" s="72" t="str">
        <f t="shared" si="0"/>
        <v/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t="s">
        <v>49</v>
      </c>
      <c r="AA31" s="38">
        <v>473.5</v>
      </c>
      <c r="AB31" s="28"/>
      <c r="AC31" s="30" t="s">
        <v>49</v>
      </c>
      <c r="AD31" s="38">
        <v>1440</v>
      </c>
      <c r="AE31" s="28"/>
      <c r="AF31" t="s">
        <v>49</v>
      </c>
      <c r="AG31" s="2">
        <v>824</v>
      </c>
      <c r="AH31" s="28"/>
    </row>
    <row r="32" spans="1:34" ht="12.75" customHeight="1" ns3:dyDescent="0.15">
      <c r="A32" s="240"/>
      <c r="B32" s="241"/>
      <c r="C32" s="242"/>
      <c r="D32" s="244"/>
      <c r="E32" s="28"/>
      <c r="F32" s="28"/>
      <c r="G32" s="59"/>
      <c r="H32" s="53" t="s">
        <v>89</v>
      </c>
      <c r="I32" s="54" t="s">
        <v>16</v>
      </c>
      <c r="J32" s="54" t="s">
        <v>60</v>
      </c>
      <c r="K32" s="55">
        <v>150</v>
      </c>
      <c r="L32" s="54"/>
      <c r="M32" s="54" t="s">
        <v>61</v>
      </c>
      <c r="N32" s="72" t="str">
        <f t="shared" si="0"/>
        <v/>
      </c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</row>
    <row r="33" spans="1:34" ht="12.75" customHeight="1" ns3:dyDescent="0.15">
      <c r="A33" s="28"/>
      <c r="B33" s="28"/>
      <c r="C33" s="28"/>
      <c r="D33" s="28"/>
      <c r="E33" s="28"/>
      <c r="F33" s="28"/>
      <c r="G33" s="59"/>
      <c r="H33" s="53" t="s">
        <v>90</v>
      </c>
      <c r="I33" s="54" t="s">
        <v>20</v>
      </c>
      <c r="J33" s="54" t="str">
        <v>DESPESA</v>
      </c>
      <c r="K33" s="55">
        <v>0</v>
      </c>
      <c r="L33" s="54"/>
      <c r="M33" s="54"/>
      <c r="N33" s="72" t="str">
        <f t="shared" si="0"/>
        <v/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</row>
    <row r="34" spans="1:34" ht="12" customHeight="1" ns3:dyDescent="0.15">
      <c r="A34" s="28"/>
      <c r="B34" s="28"/>
      <c r="C34" s="28"/>
      <c r="D34" s="28"/>
      <c r="E34" s="28"/>
      <c r="F34" s="28"/>
      <c r="G34" s="59"/>
      <c r="H34" s="53" t="s">
        <v>91</v>
      </c>
      <c r="I34" s="54" t="s">
        <v>26</v>
      </c>
      <c r="J34" s="54" t="str">
        <v>DESPESA</v>
      </c>
      <c r="K34" s="55">
        <v>0</v>
      </c>
      <c r="L34" s="54"/>
      <c r="M34" s="54"/>
      <c r="N34" s="72" t="str">
        <f t="shared" si="0"/>
        <v/>
      </c>
      <c r="O34" s="28"/>
      <c r="P34" s="28"/>
      <c r="Q34" s="200" t="s">
        <v>92</v>
      </c>
      <c r="R34" s="200"/>
      <c r="S34" s="28"/>
      <c r="T34" s="200" t="s">
        <v>93</v>
      </c>
      <c r="U34" s="200"/>
      <c r="V34" s="28"/>
      <c r="W34" s="200" t="s">
        <v>94</v>
      </c>
      <c r="X34" s="200"/>
      <c r="Y34" s="28"/>
      <c r="Z34" s="200" t="s">
        <v>92</v>
      </c>
      <c r="AA34" s="200"/>
      <c r="AB34" s="28"/>
      <c r="AC34" s="200" t="s">
        <v>93</v>
      </c>
      <c r="AD34" s="200"/>
      <c r="AE34" s="28"/>
      <c r="AF34" s="200" t="s">
        <v>94</v>
      </c>
      <c r="AG34" s="200"/>
      <c r="AH34" s="28"/>
    </row>
    <row r="35" spans="1:34" ht="13.5" customHeight="1" ns3:dyDescent="0.15">
      <c r="A35" s="28"/>
      <c r="B35" s="28"/>
      <c r="C35" s="28"/>
      <c r="D35" s="28"/>
      <c r="E35" s="28"/>
      <c r="F35" s="28"/>
      <c r="G35" s="59"/>
      <c r="H35" s="53" t="s">
        <v>95</v>
      </c>
      <c r="I35" s="54" t="s">
        <v>26</v>
      </c>
      <c r="J35" s="54" t="str">
        <v>DESPESA</v>
      </c>
      <c r="K35" s="55">
        <v>0</v>
      </c>
      <c r="L35" s="54"/>
      <c r="M35" s="54"/>
      <c r="N35" s="72" t="str">
        <f t="shared" si="0"/>
        <v/>
      </c>
      <c r="O35" s="28"/>
      <c r="P35" s="28"/>
      <c r="Q35" s="201" t="s">
        <v>49</v>
      </c>
      <c r="R35" s="207">
        <v>3573.36</v>
      </c>
      <c r="S35" s="28"/>
      <c r="T35" s="202" t="s">
        <v>49</v>
      </c>
      <c r="U35" s="207">
        <v>290</v>
      </c>
      <c r="V35" s="28"/>
      <c r="W35" s="202" t="s">
        <v>49</v>
      </c>
      <c r="X35" s="207">
        <v>250</v>
      </c>
      <c r="Y35" s="28"/>
      <c r="Z35" s="211"/>
      <c r="AA35" s="211"/>
      <c r="AB35" s="28"/>
      <c r="AC35" s="212" t="s">
        <v>96</v>
      </c>
      <c r="AD35" s="203"/>
      <c r="AE35" s="28"/>
      <c r="AF35" s="203"/>
      <c r="AG35" s="203"/>
      <c r="AH35" s="28"/>
    </row>
    <row r="36" spans="1:34" ht="12.75" customHeight="1" ns3:dyDescent="0.15">
      <c r="A36" s="28"/>
      <c r="B36" s="28"/>
      <c r="C36" s="28"/>
      <c r="D36" s="28"/>
      <c r="E36" s="28"/>
      <c r="F36" s="28"/>
      <c r="G36" s="59"/>
      <c r="H36" s="53" t="s">
        <v>97</v>
      </c>
      <c r="I36" s="54" t="s">
        <v>16</v>
      </c>
      <c r="J36" s="54" t="str">
        <v>DESPESA</v>
      </c>
      <c r="K36" s="55">
        <v>0</v>
      </c>
      <c r="L36" s="54"/>
      <c r="M36" s="54"/>
      <c r="N36" s="72" t="str">
        <f t="shared" si="0"/>
        <v/>
      </c>
      <c r="O36" s="28"/>
      <c r="P36" s="28"/>
      <c r="Q36" s="201"/>
      <c r="R36" s="207"/>
      <c r="S36" s="28"/>
      <c r="T36" s="202"/>
      <c r="U36" s="207"/>
      <c r="V36" s="28"/>
      <c r="W36" s="202"/>
      <c r="X36" s="207"/>
      <c r="Y36" s="28"/>
      <c r="Z36" s="211"/>
      <c r="AA36" s="211"/>
      <c r="AB36" s="28"/>
      <c r="AC36" s="212"/>
      <c r="AD36" s="203"/>
      <c r="AE36" s="28"/>
      <c r="AF36" s="203"/>
      <c r="AG36" s="203"/>
      <c r="AH36" s="28"/>
    </row>
    <row r="37" spans="1:34" ht="13.5" customHeight="1" ns3:dyDescent="0.15">
      <c r="A37" s="28"/>
      <c r="B37" s="28"/>
      <c r="C37" s="28"/>
      <c r="D37" s="28"/>
      <c r="E37" s="28"/>
      <c r="F37" s="28"/>
      <c r="G37" s="59"/>
      <c r="H37" s="53" t="s">
        <v>98</v>
      </c>
      <c r="I37" s="54" t="s">
        <v>16</v>
      </c>
      <c r="J37" s="54" t="str">
        <v>DESPESA</v>
      </c>
      <c r="K37" s="55">
        <v>0</v>
      </c>
      <c r="L37" s="54"/>
      <c r="M37" s="54"/>
      <c r="N37" s="72" t="str">
        <f t="shared" si="0"/>
        <v/>
      </c>
      <c r="O37" s="28"/>
      <c r="P37" s="28"/>
      <c r="Q37" s="201"/>
      <c r="R37" s="207"/>
      <c r="S37" s="28"/>
      <c r="T37" s="202"/>
      <c r="U37" s="207"/>
      <c r="V37" s="28"/>
      <c r="W37" s="202"/>
      <c r="X37" s="207"/>
      <c r="Y37" s="28"/>
      <c r="Z37" s="211"/>
      <c r="AA37" s="211"/>
      <c r="AB37" s="28"/>
      <c r="AC37" s="212"/>
      <c r="AD37" s="203"/>
      <c r="AE37" s="28"/>
      <c r="AF37" s="203"/>
      <c r="AG37" s="203"/>
      <c r="AH37" s="28"/>
    </row>
    <row r="38" spans="1:34" ht="13.5" customHeight="1" ns3:dyDescent="0.15">
      <c r="A38" s="28"/>
      <c r="B38" s="28"/>
      <c r="C38" s="28"/>
      <c r="D38" s="28"/>
      <c r="E38" s="28"/>
      <c r="F38" s="28"/>
      <c r="G38" s="59"/>
      <c r="H38" s="53" t="s">
        <v>99</v>
      </c>
      <c r="I38" s="54" t="s">
        <v>18</v>
      </c>
      <c r="J38" s="54" t="s">
        <v>60</v>
      </c>
      <c r="K38" s="55">
        <v>0</v>
      </c>
      <c r="L38" s="54"/>
      <c r="M38" s="54" t="s">
        <v>61</v>
      </c>
      <c r="N38" s="72" t="str">
        <f t="shared" si="0"/>
        <v/>
      </c>
      <c r="O38" s="28"/>
      <c r="P38" s="28"/>
      <c r="Q38" s="201"/>
      <c r="R38" s="207"/>
      <c r="S38" s="28"/>
      <c r="T38" s="202"/>
      <c r="U38" s="207"/>
      <c r="V38" s="28"/>
      <c r="W38" s="202"/>
      <c r="X38" s="207"/>
      <c r="Y38" s="28"/>
      <c r="Z38" s="211"/>
      <c r="AA38" s="211"/>
      <c r="AB38" s="28"/>
      <c r="AC38" s="203"/>
      <c r="AD38" s="203"/>
      <c r="AE38" s="28"/>
      <c r="AF38" s="203"/>
      <c r="AG38" s="203"/>
      <c r="AH38" s="28"/>
    </row>
    <row r="39" spans="1:34" ht="12.75" customHeight="1" ns3:dyDescent="0.15">
      <c r="A39" s="28"/>
      <c r="B39" s="28"/>
      <c r="C39" s="28"/>
      <c r="D39" s="28"/>
      <c r="E39" s="28"/>
      <c r="F39" s="28"/>
      <c r="G39" s="59"/>
      <c r="H39" s="53" t="s">
        <v>101</v>
      </c>
      <c r="I39" s="54" t="s">
        <v>25</v>
      </c>
      <c r="J39" s="54" t="str">
        <v>DESPESA</v>
      </c>
      <c r="K39" s="55">
        <v>0</v>
      </c>
      <c r="L39" s="54"/>
      <c r="M39" s="54"/>
      <c r="N39" s="72" t="str">
        <f t="shared" si="0"/>
        <v/>
      </c>
      <c r="O39" s="28"/>
      <c r="P39" s="28"/>
      <c r="Q39" s="201"/>
      <c r="R39" s="207"/>
      <c r="S39" s="28"/>
      <c r="T39" s="202"/>
      <c r="U39" s="207"/>
      <c r="V39" s="28"/>
      <c r="W39" s="202"/>
      <c r="X39" s="207"/>
      <c r="Y39" s="28"/>
      <c r="Z39" s="211"/>
      <c r="AA39" s="211"/>
      <c r="AB39" s="28"/>
      <c r="AC39" s="203"/>
      <c r="AD39" s="203"/>
      <c r="AE39" s="28"/>
      <c r="AF39" s="203"/>
      <c r="AG39" s="203"/>
      <c r="AH39" s="28"/>
    </row>
    <row r="40" spans="1:34" s="4" customFormat="1" ht="17.45" customHeight="1" ns3:dyDescent="0.15">
      <c r="A40" s="28"/>
      <c r="B40" s="28"/>
      <c r="C40" s="28"/>
      <c r="D40" s="28"/>
      <c r="E40" s="28"/>
      <c r="F40" s="28"/>
      <c r="G40" s="59"/>
      <c r="H40" s="53" t="s">
        <v>102</v>
      </c>
      <c r="I40" s="54" t="s">
        <v>14</v>
      </c>
      <c r="J40" s="54" t="s">
        <v>60</v>
      </c>
      <c r="K40" s="55">
        <v>0</v>
      </c>
      <c r="L40" s="54"/>
      <c r="M40" s="54" t="s">
        <v>61</v>
      </c>
      <c r="N40" s="72" t="str">
        <f t="shared" si="0"/>
        <v/>
      </c>
      <c r="O40" s="28"/>
      <c r="P40" s="28"/>
      <c r="Q40" s="201"/>
      <c r="R40" s="207"/>
      <c r="S40" s="28"/>
      <c r="T40" s="202"/>
      <c r="U40" s="207"/>
      <c r="V40" s="28"/>
      <c r="W40" s="202"/>
      <c r="X40" s="207"/>
      <c r="Y40" s="28"/>
      <c r="Z40" s="211"/>
      <c r="AA40" s="211"/>
      <c r="AB40" s="28"/>
      <c r="AC40" s="203"/>
      <c r="AD40" s="203"/>
      <c r="AE40" s="28"/>
      <c r="AF40" s="203"/>
      <c r="AG40" s="203"/>
      <c r="AH40" s="28"/>
    </row>
    <row r="41" spans="1:34" ht="12.75" customHeight="1" ns3:dyDescent="0.15">
      <c r="A41" s="28"/>
      <c r="B41" s="28"/>
      <c r="C41" s="28"/>
      <c r="D41" s="28"/>
      <c r="E41" s="28"/>
      <c r="F41" s="28"/>
      <c r="G41" s="59"/>
      <c r="H41" s="53" t="s">
        <v>103</v>
      </c>
      <c r="I41" s="54" t="s">
        <v>22</v>
      </c>
      <c r="J41" s="54" t="s">
        <v>60</v>
      </c>
      <c r="K41" s="55">
        <v>0</v>
      </c>
      <c r="L41" s="54"/>
      <c r="M41" s="54" t="s">
        <v>61</v>
      </c>
      <c r="N41" s="72" t="str">
        <f t="shared" si="0"/>
        <v/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t="s">
        <v>49</v>
      </c>
      <c r="AA41" s="38">
        <v>170</v>
      </c>
      <c r="AB41" s="28"/>
      <c r="AC41" s="30" t="s">
        <v>49</v>
      </c>
      <c r="AD41" s="38">
        <v>1917</v>
      </c>
      <c r="AE41" s="28"/>
      <c r="AF41" t="s">
        <v>49</v>
      </c>
      <c r="AG41" s="2">
        <v>145</v>
      </c>
      <c r="AH41" s="28"/>
    </row>
    <row r="42" spans="1:34" ht="12.75" customHeight="1" ns3:dyDescent="0.15">
      <c r="A42" s="28"/>
      <c r="B42" s="28"/>
      <c r="C42" s="28"/>
      <c r="D42" s="28"/>
      <c r="E42" s="28"/>
      <c r="F42" s="28"/>
      <c r="G42" s="59"/>
      <c r="H42" s="53" t="s">
        <v>104</v>
      </c>
      <c r="I42" s="54" t="s">
        <v>26</v>
      </c>
      <c r="J42" s="54" t="s">
        <v>60</v>
      </c>
      <c r="K42" s="55">
        <v>0</v>
      </c>
      <c r="L42" s="54"/>
      <c r="M42" s="54" t="s">
        <v>61</v>
      </c>
      <c r="N42" s="72" t="str">
        <f t="shared" si="0"/>
        <v/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1:34" ht="12.75" customHeight="1" ns3:dyDescent="0.15">
      <c r="A43" s="28"/>
      <c r="B43" s="28"/>
      <c r="C43" s="28"/>
      <c r="D43" s="28"/>
      <c r="E43" s="28"/>
      <c r="F43" s="28"/>
      <c r="G43" s="59"/>
      <c r="H43" s="53" t="s">
        <v>105</v>
      </c>
      <c r="I43" s="54" t="s">
        <v>18</v>
      </c>
      <c r="J43" s="54" t="str">
        <v>DESPESA</v>
      </c>
      <c r="K43" s="55">
        <v>0</v>
      </c>
      <c r="L43" s="54"/>
      <c r="M43" s="54"/>
      <c r="N43" s="72" t="str">
        <f t="shared" si="0"/>
        <v/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1:34" ht="12.75" customHeight="1" ns3:dyDescent="0.15">
      <c r="A44" s="28"/>
      <c r="B44" s="28"/>
      <c r="C44" s="28"/>
      <c r="D44" s="28"/>
      <c r="E44" s="28"/>
      <c r="F44" s="28"/>
      <c r="G44" s="59"/>
      <c r="H44" s="53" t="s">
        <v>106</v>
      </c>
      <c r="I44" s="54" t="s">
        <v>18</v>
      </c>
      <c r="J44" s="54" t="s">
        <v>60</v>
      </c>
      <c r="K44" s="55">
        <v>50</v>
      </c>
      <c r="L44" s="54"/>
      <c r="M44" s="54" t="s">
        <v>61</v>
      </c>
      <c r="N44" s="72" t="str">
        <f t="shared" si="0"/>
        <v/>
      </c>
      <c r="O44" s="28"/>
      <c r="P44" s="28"/>
      <c r="Q44" s="206" t="s">
        <v>107</v>
      </c>
      <c r="R44" s="206"/>
      <c r="S44" s="28"/>
      <c r="T44" s="200" t="s">
        <v>108</v>
      </c>
      <c r="U44" s="200"/>
      <c r="V44" s="28"/>
      <c r="W44" s="200" t="s">
        <v>109</v>
      </c>
      <c r="X44" s="200"/>
      <c r="Y44" s="28"/>
      <c r="Z44" s="206" t="s">
        <v>107</v>
      </c>
      <c r="AA44" s="206"/>
      <c r="AB44" s="28"/>
      <c r="AC44" s="200" t="s">
        <v>108</v>
      </c>
      <c r="AD44" s="200"/>
      <c r="AE44" s="28"/>
      <c r="AF44" s="200" t="s">
        <v>109</v>
      </c>
      <c r="AG44" s="200"/>
      <c r="AH44" s="28"/>
    </row>
    <row r="45" spans="1:34" ht="13.5" customHeight="1" ns3:dyDescent="0.15">
      <c r="A45" s="28"/>
      <c r="B45" s="28"/>
      <c r="C45" s="28"/>
      <c r="D45" s="28"/>
      <c r="E45" s="28"/>
      <c r="F45" s="28"/>
      <c r="G45" s="59"/>
      <c r="H45" s="53" t="s">
        <v>110</v>
      </c>
      <c r="I45" s="54" t="s">
        <v>16</v>
      </c>
      <c r="J45" s="54" t="s">
        <v>60</v>
      </c>
      <c r="K45" s="55">
        <v>60</v>
      </c>
      <c r="L45" s="54"/>
      <c r="M45" s="54" t="s">
        <v>61</v>
      </c>
      <c r="N45" s="72" t="str">
        <f t="shared" si="0"/>
        <v/>
      </c>
      <c r="O45" s="28"/>
      <c r="P45" s="28"/>
      <c r="Q45" s="201" t="s">
        <v>49</v>
      </c>
      <c r="R45" s="207"/>
      <c r="S45" s="28"/>
      <c r="T45" s="202" t="s">
        <v>49</v>
      </c>
      <c r="U45" s="207"/>
      <c r="V45" s="28"/>
      <c r="W45" s="202" t="s">
        <v>49</v>
      </c>
      <c r="X45" s="207"/>
      <c r="Y45" s="28"/>
      <c r="Z45" s="203"/>
      <c r="AA45" s="203"/>
      <c r="AB45" s="28"/>
      <c r="AC45" s="203" t="s">
        <v>111</v>
      </c>
      <c r="AD45" s="233"/>
      <c r="AE45" s="28"/>
      <c r="AF45" s="203" t="s">
        <v>112</v>
      </c>
      <c r="AG45" s="203" t="s">
        <v>113</v>
      </c>
      <c r="AH45" s="28"/>
    </row>
    <row r="46" spans="1:34" ht="13.5" customHeight="1" ns3:dyDescent="0.15">
      <c r="A46" s="28"/>
      <c r="B46" s="28"/>
      <c r="C46" s="28"/>
      <c r="D46" s="28"/>
      <c r="E46" s="28"/>
      <c r="F46" s="28"/>
      <c r="G46" s="59"/>
      <c r="H46" s="53" t="s">
        <v>114</v>
      </c>
      <c r="I46" s="54" t="s">
        <v>26</v>
      </c>
      <c r="J46" s="54" t="s">
        <v>60</v>
      </c>
      <c r="K46" s="55">
        <v>25</v>
      </c>
      <c r="L46" s="54"/>
      <c r="M46" s="54" t="s">
        <v>61</v>
      </c>
      <c r="N46" s="72" t="str">
        <f t="shared" si="0"/>
        <v/>
      </c>
      <c r="O46" s="28"/>
      <c r="P46" s="28"/>
      <c r="Q46" s="201"/>
      <c r="R46" s="207"/>
      <c r="S46" s="28"/>
      <c r="T46" s="202"/>
      <c r="U46" s="207"/>
      <c r="V46" s="28"/>
      <c r="W46" s="202"/>
      <c r="X46" s="207"/>
      <c r="Y46" s="28"/>
      <c r="Z46" s="203"/>
      <c r="AA46" s="203"/>
      <c r="AB46" s="28"/>
      <c r="AC46" s="203"/>
      <c r="AD46" s="233"/>
      <c r="AE46" s="28"/>
      <c r="AF46" s="203"/>
      <c r="AG46" s="203"/>
      <c r="AH46" s="28"/>
    </row>
    <row r="47" spans="1:34" ht="13.5" customHeight="1" ns3:dyDescent="0.15">
      <c r="A47" s="28"/>
      <c r="B47" s="28"/>
      <c r="C47" s="28"/>
      <c r="D47" s="28"/>
      <c r="E47" s="28"/>
      <c r="F47" s="28"/>
      <c r="G47" s="64"/>
      <c r="H47" s="65" t="s">
        <v>115</v>
      </c>
      <c r="I47" s="66" t="s">
        <v>26</v>
      </c>
      <c r="J47" s="66"/>
      <c r="K47" s="67">
        <v>0</v>
      </c>
      <c r="L47" s="66"/>
      <c r="M47" s="66" t="s">
        <v>61</v>
      </c>
      <c r="N47" s="73" t="str">
        <f t="shared" si="0"/>
        <v/>
      </c>
      <c r="O47" s="28"/>
      <c r="P47" s="28"/>
      <c r="Q47" s="201"/>
      <c r="R47" s="207"/>
      <c r="S47" s="28"/>
      <c r="T47" s="202"/>
      <c r="U47" s="207"/>
      <c r="V47" s="28"/>
      <c r="W47" s="202"/>
      <c r="X47" s="207"/>
      <c r="Y47" s="28"/>
      <c r="Z47" s="203"/>
      <c r="AA47" s="203"/>
      <c r="AB47" s="28"/>
      <c r="AC47" s="203"/>
      <c r="AD47" s="233"/>
      <c r="AE47" s="28"/>
      <c r="AF47" s="203"/>
      <c r="AG47" s="203"/>
      <c r="AH47" s="28"/>
    </row>
    <row r="48" spans="1:34" ht="18.75" customHeight="1" ns3:dyDescent="0.15">
      <c r="A48" s="28"/>
      <c r="B48" s="28"/>
      <c r="C48" s="28"/>
      <c r="D48" s="28"/>
      <c r="E48" s="28"/>
      <c r="F48" s="28"/>
      <c r="G48" s="68"/>
      <c r="H48" s="210" t="s">
        <v>116</v>
      </c>
      <c r="I48" s="210"/>
      <c r="J48" s="210"/>
      <c r="K48" s="69">
        <f>SUM(K18:K29)</f>
        <v>1100</v>
      </c>
      <c r="L48" s="70"/>
      <c r="M48" s="70"/>
      <c r="N48" s="71" t="str">
        <f t="shared" si="0"/>
        <v/>
      </c>
      <c r="O48" s="28"/>
      <c r="P48" s="28"/>
      <c r="Q48" s="201"/>
      <c r="R48" s="207"/>
      <c r="S48" s="28"/>
      <c r="T48" s="202"/>
      <c r="U48" s="207"/>
      <c r="V48" s="28"/>
      <c r="W48" s="202"/>
      <c r="X48" s="207"/>
      <c r="Y48" s="28"/>
      <c r="Z48" s="203"/>
      <c r="AA48" s="203"/>
      <c r="AB48" s="28"/>
      <c r="AC48" s="203"/>
      <c r="AD48" s="233"/>
      <c r="AE48" s="28"/>
      <c r="AF48" s="203"/>
      <c r="AG48" s="203"/>
      <c r="AH48" s="28"/>
    </row>
    <row r="49" spans="1:34" ht="18.75" customHeight="1" ns3:dyDescent="0.15">
      <c r="A49" s="28"/>
      <c r="B49" s="28"/>
      <c r="C49" s="28"/>
      <c r="D49" s="28"/>
      <c r="E49" s="28"/>
      <c r="F49" s="28"/>
      <c r="G49" s="68"/>
      <c r="H49" s="210" t="s">
        <v>117</v>
      </c>
      <c r="I49" s="210"/>
      <c r="J49" s="210"/>
      <c r="K49" s="69">
        <f>SUM(K31:K47)</f>
        <v>285</v>
      </c>
      <c r="L49" s="70"/>
      <c r="M49" s="70"/>
      <c r="N49" s="71" t="str">
        <f t="shared" si="0"/>
        <v/>
      </c>
      <c r="O49" s="28"/>
      <c r="P49" s="28"/>
      <c r="Q49" s="201"/>
      <c r="R49" s="207"/>
      <c r="S49" s="28"/>
      <c r="T49" s="202"/>
      <c r="U49" s="207"/>
      <c r="V49" s="28"/>
      <c r="W49" s="202"/>
      <c r="X49" s="207"/>
      <c r="Y49" s="28"/>
      <c r="Z49" s="203"/>
      <c r="AA49" s="203"/>
      <c r="AB49" s="28"/>
      <c r="AC49" s="203"/>
      <c r="AD49" s="233"/>
      <c r="AE49" s="28"/>
      <c r="AF49" s="203"/>
      <c r="AG49" s="203"/>
      <c r="AH49" s="28"/>
    </row>
    <row r="50" spans="1:34" ht="18.75" customHeight="1" ns3:dyDescent="0.15">
      <c r="A50" s="28"/>
      <c r="B50" s="28"/>
      <c r="C50" s="28"/>
      <c r="D50" s="28"/>
      <c r="E50" s="28"/>
      <c r="F50" s="28"/>
      <c r="G50" s="60"/>
      <c r="H50" s="208" t="s">
        <v>118</v>
      </c>
      <c r="I50" s="208"/>
      <c r="J50" s="208"/>
      <c r="K50" s="61">
        <f>SUM(K48:K49)</f>
        <v>1385</v>
      </c>
      <c r="L50" s="62"/>
      <c r="M50" s="62"/>
      <c r="N50" s="63" t="str">
        <f t="shared" si="0"/>
        <v/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t="s">
        <v>49</v>
      </c>
      <c r="AA50" s="38"/>
      <c r="AB50" s="28"/>
      <c r="AC50" s="30" t="s">
        <v>49</v>
      </c>
      <c r="AD50" s="38"/>
      <c r="AE50" s="28"/>
      <c r="AF50" t="s">
        <v>49</v>
      </c>
      <c r="AG50" s="2"/>
      <c r="AH50" s="28"/>
    </row>
    <row r="51" spans="1:34" ht="12.75" customHeight="1" ns3:dyDescent="0.1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</row>
    <row r="52" spans="1:34" ht="12.75" customHeight="1" ns3:dyDescent="0.1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05">
        <f>R16+U16+X16+R25+U25+X25+R35+U35+X35+R45+U45+X45</f>
        <v>27856.27</v>
      </c>
      <c r="R52" s="205"/>
      <c r="S52" s="205"/>
      <c r="T52" s="173"/>
      <c r="U52" s="204">
        <f>Q52-Z52</f>
        <v>20782.77</v>
      </c>
      <c r="V52" s="204"/>
      <c r="W52" s="28"/>
      <c r="X52" s="28"/>
      <c r="Y52" s="28"/>
      <c r="Z52" s="205">
        <f>AA21+AD21+AG21+AA31+AD31+AG31+AA41+AD41+AG41+AA50+AD50+AG50</f>
        <v>7073.5</v>
      </c>
      <c r="AA52" s="205"/>
      <c r="AB52" s="205"/>
      <c r="AC52" s="205"/>
      <c r="AD52" s="205"/>
      <c r="AE52" s="28"/>
      <c r="AF52" s="209">
        <f>Z52/12</f>
        <v>589.45833333333337</v>
      </c>
      <c r="AG52" s="209"/>
      <c r="AH52" s="28"/>
    </row>
    <row r="53" spans="1:34" ht="12.75" customHeight="1" ns3:dyDescent="0.1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05"/>
      <c r="R53" s="205"/>
      <c r="S53" s="205"/>
      <c r="T53" s="173"/>
      <c r="U53" s="204"/>
      <c r="V53" s="204"/>
      <c r="W53" s="28"/>
      <c r="X53" s="28"/>
      <c r="Y53" s="28"/>
      <c r="Z53" s="205"/>
      <c r="AA53" s="205"/>
      <c r="AB53" s="205"/>
      <c r="AC53" s="205"/>
      <c r="AD53" s="205"/>
      <c r="AE53" s="28"/>
      <c r="AF53" s="209"/>
      <c r="AG53" s="209"/>
      <c r="AH53" s="28"/>
    </row>
    <row r="54" spans="1:34" ht="12.75" customHeight="1" ns3:dyDescent="0.15">
      <c r="I54" s="30"/>
      <c r="X54" s="42" t="s">
        <v>119</v>
      </c>
      <c r="AB54" s="29"/>
      <c r="AF54" s="199" t="s">
        <v>120</v>
      </c>
      <c r="AG54" s="199"/>
      <c r="AH54" s="28"/>
    </row>
    <row r="55" spans="1:34" ht="12.75" customHeight="1" ns3:dyDescent="0.15">
      <c r="I55" s="30"/>
      <c r="J55" s="30"/>
      <c r="K55" s="41"/>
      <c r="L55" s="43"/>
      <c r="M55" s="43"/>
      <c r="Z55" s="29"/>
    </row>
    <row r="56" spans="1:34" ht="12.75" customHeight="1" ns3:dyDescent="0.15">
      <c r="L56" s="40"/>
      <c r="Z56" s="29"/>
    </row>
    <row r="57" spans="1:34" ht="12.75" customHeight="1" ns3:dyDescent="0.15">
      <c r="L57" s="40"/>
      <c r="Y57" s="2"/>
    </row>
    <row r="59" spans="1:34" ht="12.75" customHeight="1" ns3:dyDescent="0.15">
      <c r="AA59" s="29"/>
    </row>
    <row r="60" spans="1:34" ht="12.75" customHeight="1" ns3:dyDescent="0.15">
      <c r="J60" s="1"/>
      <c r="K60" s="1"/>
      <c r="L60" s="5"/>
    </row>
    <row r="61" spans="1:34" ht="12.75" customHeight="1" ns3:dyDescent="0.15">
      <c r="J61" s="1"/>
      <c r="L61" s="5"/>
      <c r="AA61" s="2"/>
    </row>
    <row r="62" spans="1:34" ht="12.75" customHeight="1" ns3:dyDescent="0.15">
      <c r="J62" s="1"/>
      <c r="K62" s="1"/>
      <c r="L62" s="5"/>
    </row>
    <row r="63" spans="1:34" ht="12.75" customHeight="1" ns3:dyDescent="0.15">
      <c r="J63" s="1"/>
      <c r="K63" s="1"/>
      <c r="L63" s="5"/>
    </row>
    <row r="64" spans="1:34" ht="12.75" customHeight="1" ns3:dyDescent="0.15">
      <c r="J64" s="1"/>
      <c r="K64" s="1"/>
      <c r="L64" s="5"/>
      <c r="M64" s="3"/>
    </row>
    <row r="65" spans="10:23" ht="12.75" customHeight="1" ns3:dyDescent="0.15">
      <c r="J65" s="1"/>
      <c r="K65" s="1"/>
      <c r="L65" s="5"/>
      <c r="M65" s="3"/>
    </row>
    <row r="68" spans="10:23" ht="12.75" customHeight="1" ns3:dyDescent="0.15">
      <c r="K68" s="6"/>
      <c r="N68" s="6"/>
      <c r="W68" s="7"/>
    </row>
    <row r="77" spans="10:23" ht="12.75" customHeight="1" ns3:dyDescent="0.15">
      <c r="K77" s="6"/>
      <c r="N77" s="6"/>
    </row>
    <row r="85" spans="11:33" ht="12.75" customHeight="1" ns3:dyDescent="0.15">
      <c r="AF85" s="4"/>
      <c r="AG85" s="4"/>
    </row>
    <row r="86" spans="11:33" ht="12.75" customHeight="1" ns3:dyDescent="0.15">
      <c r="K86" s="6"/>
      <c r="N86" s="6"/>
    </row>
    <row r="89" spans="11:33" ht="12.75" customHeight="1" ns3:dyDescent="0.15">
      <c r="L89" s="6"/>
    </row>
  </sheetData>
  <mergeCells count="116">
    <mergeCell ref="R16:R20"/>
    <mergeCell ref="T16:T20"/>
    <mergeCell ref="A25:C25"/>
    <mergeCell ref="Q25:Q30"/>
    <mergeCell ref="T25:T30"/>
    <mergeCell ref="AA25:AA27"/>
    <mergeCell ref="W25:W30"/>
    <mergeCell ref="A16:C16"/>
    <mergeCell ref="Q16:Q20"/>
    <mergeCell ref="A29:C30"/>
    <mergeCell ref="D29:D30"/>
    <mergeCell ref="A2:F4"/>
    <mergeCell ref="AG16:AG17"/>
    <mergeCell ref="AG38:AG40"/>
    <mergeCell ref="X45:X49"/>
    <mergeCell ref="AG35:AG37"/>
    <mergeCell ref="AD45:AD47"/>
    <mergeCell ref="AG48:AG49"/>
    <mergeCell ref="AA45:AA47"/>
    <mergeCell ref="AD48:AD49"/>
    <mergeCell ref="Q24:R24"/>
    <mergeCell ref="T24:U24"/>
    <mergeCell ref="AD35:AD37"/>
    <mergeCell ref="AD25:AD27"/>
    <mergeCell ref="W24:X24"/>
    <mergeCell ref="Z24:AA24"/>
    <mergeCell ref="AC24:AD24"/>
    <mergeCell ref="G15:N15"/>
    <mergeCell ref="AD16:AD17"/>
    <mergeCell ref="AA48:AA49"/>
    <mergeCell ref="A31:C32"/>
    <mergeCell ref="D31:D32"/>
    <mergeCell ref="G30:N30"/>
    <mergeCell ref="AG45:AG47"/>
    <mergeCell ref="B6:C7"/>
    <mergeCell ref="K14:M14"/>
    <mergeCell ref="Q14:S14"/>
    <mergeCell ref="Z14:AB14"/>
    <mergeCell ref="A15:D15"/>
    <mergeCell ref="Q15:R15"/>
    <mergeCell ref="T15:U15"/>
    <mergeCell ref="W15:X15"/>
    <mergeCell ref="Z15:AA15"/>
    <mergeCell ref="AF15:AG15"/>
    <mergeCell ref="AC15:AD15"/>
    <mergeCell ref="AF16:AF17"/>
    <mergeCell ref="A17:C17"/>
    <mergeCell ref="AF18:AF20"/>
    <mergeCell ref="X16:X20"/>
    <mergeCell ref="G17:N17"/>
    <mergeCell ref="U25:U30"/>
    <mergeCell ref="U35:U40"/>
    <mergeCell ref="T34:U34"/>
    <mergeCell ref="Z34:AA34"/>
    <mergeCell ref="W16:W20"/>
    <mergeCell ref="Z16:Z17"/>
    <mergeCell ref="AC16:AC17"/>
    <mergeCell ref="U16:U20"/>
    <mergeCell ref="AD38:AD40"/>
    <mergeCell ref="X25:X30"/>
    <mergeCell ref="AC38:AC40"/>
    <mergeCell ref="AA38:AA40"/>
    <mergeCell ref="AA35:AA37"/>
    <mergeCell ref="W34:X34"/>
    <mergeCell ref="AF34:AG34"/>
    <mergeCell ref="AC34:AD34"/>
    <mergeCell ref="Q34:R34"/>
    <mergeCell ref="R25:R30"/>
    <mergeCell ref="AA16:AA17"/>
    <mergeCell ref="AG18:AG20"/>
    <mergeCell ref="AF27:AF30"/>
    <mergeCell ref="Z28:Z30"/>
    <mergeCell ref="AC28:AC30"/>
    <mergeCell ref="AG28:AG30"/>
    <mergeCell ref="AD28:AD30"/>
    <mergeCell ref="AF24:AG24"/>
    <mergeCell ref="AF25:AF26"/>
    <mergeCell ref="AG25:AG27"/>
    <mergeCell ref="AA28:AA30"/>
    <mergeCell ref="Z25:Z27"/>
    <mergeCell ref="AC25:AC27"/>
    <mergeCell ref="H50:J50"/>
    <mergeCell ref="AF52:AG53"/>
    <mergeCell ref="H48:J48"/>
    <mergeCell ref="H49:J49"/>
    <mergeCell ref="AC48:AC49"/>
    <mergeCell ref="W44:X44"/>
    <mergeCell ref="Z44:AA44"/>
    <mergeCell ref="AC44:AD44"/>
    <mergeCell ref="AF38:AF40"/>
    <mergeCell ref="X35:X40"/>
    <mergeCell ref="Q35:Q40"/>
    <mergeCell ref="T35:T40"/>
    <mergeCell ref="W35:W40"/>
    <mergeCell ref="Z35:Z37"/>
    <mergeCell ref="AC35:AC37"/>
    <mergeCell ref="AF35:AF37"/>
    <mergeCell ref="Z38:Z40"/>
    <mergeCell ref="R35:R40"/>
    <mergeCell ref="AF54:AG54"/>
    <mergeCell ref="AF44:AG44"/>
    <mergeCell ref="Q45:Q49"/>
    <mergeCell ref="T45:T49"/>
    <mergeCell ref="W45:W49"/>
    <mergeCell ref="Z45:Z47"/>
    <mergeCell ref="AC45:AC47"/>
    <mergeCell ref="AF45:AF47"/>
    <mergeCell ref="U52:V53"/>
    <mergeCell ref="Z52:AD53"/>
    <mergeCell ref="AF48:AF49"/>
    <mergeCell ref="Q44:R44"/>
    <mergeCell ref="T44:U44"/>
    <mergeCell ref="R45:R49"/>
    <mergeCell ref="U45:U49"/>
    <mergeCell ref="Z48:Z49"/>
    <mergeCell ref="Q52:S53"/>
  </mergeCells>
  <conditionalFormatting sqref="H5">
    <cfRule type="colorScale" priority="2">
      <colorScale>
        <cfvo type="min"/>
        <cfvo type="max"/>
        <color theme="5"/>
        <color rgb="FFFFEF9C"/>
      </colorScale>
    </cfRule>
    <cfRule type="expression" priority="1">
      <formula>M18="PENDENTE"</formula>
    </cfRule>
  </conditionalFormatting>
  <conditionalFormatting sqref="J18:J29">
    <cfRule type="expression" dxfId="21" priority="4">
      <formula>J18="RECEITA"</formula>
    </cfRule>
    <cfRule type="expression" dxfId="20" priority="5">
      <formula>J18="DESPESA"</formula>
    </cfRule>
    <cfRule type="expression" dxfId="19" priority="10">
      <formula>J18="INVESTIMENTO"</formula>
    </cfRule>
  </conditionalFormatting>
  <conditionalFormatting sqref="J31:J47">
    <cfRule type="expression" dxfId="18" priority="3">
      <formula>J31="RECEITA"</formula>
    </cfRule>
    <cfRule type="expression" dxfId="17" priority="6">
      <formula>J31="DESPESA"</formula>
    </cfRule>
    <cfRule type="expression" dxfId="16" priority="7">
      <formula>J31="INVESTIMENTO"</formula>
    </cfRule>
    <cfRule type="expression" dxfId="15" priority="8">
      <formula>J31=INVESTIMENTO</formula>
    </cfRule>
    <cfRule type="expression" priority="9">
      <formula>-J31="INVESTIMENTO"</formula>
    </cfRule>
  </conditionalFormatting>
  <conditionalFormatting sqref="K16:K50">
    <cfRule type="colorScale" priority="38">
      <colorScale>
        <cfvo type="min"/>
        <cfvo type="percentile" val="50"/>
        <cfvo type="max"/>
        <color rgb="FFF3A6B5"/>
        <color rgb="FFF4D77D"/>
        <color rgb="FF7DE0BD"/>
      </colorScale>
    </cfRule>
  </conditionalFormatting>
  <conditionalFormatting sqref="M18">
    <cfRule type="expression" dxfId="14" priority="28">
      <formula>M18:M29="PENDENTE"</formula>
    </cfRule>
    <cfRule type="expression" dxfId="13" priority="34">
      <formula>M18="PENDENTE"</formula>
    </cfRule>
    <cfRule type="expression" dxfId="12" priority="33">
      <formula>M18="PAGO"</formula>
    </cfRule>
    <cfRule type="expression" dxfId="11" priority="32">
      <formula>M18="PENDENTE"</formula>
    </cfRule>
    <cfRule type="expression" dxfId="10" priority="30">
      <formula>"M18:M47=""PENDENTE"""</formula>
    </cfRule>
    <cfRule type="expression" dxfId="9" priority="29">
      <formula>"M18:M29"</formula>
    </cfRule>
    <cfRule type="expression" priority="20">
      <formula>$M$18:$M$29=M18="PENDENTE"</formula>
    </cfRule>
    <cfRule type="expression" priority="21">
      <formula>M18="PENDENTE"</formula>
    </cfRule>
    <cfRule type="expression" dxfId="8" priority="22">
      <formula>M18:M29= "PENDENTE"</formula>
    </cfRule>
  </conditionalFormatting>
  <conditionalFormatting sqref="M18:M29">
    <cfRule type="expression" dxfId="7" priority="19">
      <formula>M18="PENDENTE"</formula>
    </cfRule>
    <cfRule type="expression" dxfId="6" priority="18">
      <formula>M18="PAGO"</formula>
    </cfRule>
    <cfRule type="containsText" dxfId="5" priority="39" operator="containsText" text="PENDENTE"/>
    <cfRule type="containsText" dxfId="4" priority="40" operator="containsText" text="PAGO"/>
  </conditionalFormatting>
  <conditionalFormatting sqref="M19">
    <cfRule type="expression" priority="35">
      <formula>$M$18="PENDENTE"</formula>
    </cfRule>
  </conditionalFormatting>
  <conditionalFormatting sqref="M31:M47">
    <cfRule type="expression" dxfId="3" priority="17">
      <formula>M31="PENDENTE"</formula>
    </cfRule>
    <cfRule type="expression" dxfId="2" priority="16">
      <formula>M31="PAGO"</formula>
    </cfRule>
    <cfRule type="containsText" dxfId="1" priority="41" operator="containsText" text="PENDENTE"/>
    <cfRule type="containsText" dxfId="0" priority="42" operator="containsText" text="PAGO"/>
  </conditionalFormatting>
  <conditionalFormatting sqref="AF52:AG53">
    <cfRule type="colorScale" priority="15">
      <colorScale>
        <cfvo type="min"/>
        <cfvo type="max"/>
        <color rgb="FFFF7128"/>
        <color rgb="FFFFEF9C"/>
      </colorScale>
    </cfRule>
    <cfRule type="colorScale" priority="14">
      <colorScale>
        <cfvo type="min"/>
        <cfvo type="max"/>
        <color rgb="FFFF0000"/>
        <color rgb="FFFFEF9C"/>
      </colorScale>
    </cfRule>
    <cfRule type="colorScale" priority="13">
      <colorScale>
        <cfvo type="min"/>
        <cfvo type="max"/>
        <color rgb="FFFF0000"/>
        <color rgb="FFFF0000"/>
      </colorScale>
    </cfRule>
  </conditionalFormatting>
  <dataValidations count="6">
    <dataValidation type="list" allowBlank="1" showDropDown="1" sqref="M16 M48:M50" ns2:uid="{00000000-0002-0000-0100-000000000000}">
      <formula1>"PAGO,PENDENTE"</formula1>
    </dataValidation>
    <dataValidation type="list" allowBlank="1" showDropDown="1" sqref="L16 L48:L50" ns2:uid="{00000000-0002-0000-0100-000001000000}">
      <formula1>"Dinheiro,Pix,Débito,Crédito,Boleto,Transferência"</formula1>
    </dataValidation>
    <dataValidation type="list" sqref="I18:I29 I31:I47" ns2:uid="{00000000-0002-0000-0100-000002000000}">
      <formula1>"Moradia,Alimentação,Transporte,Contas,Saúde,Lazer,Compras,Assinaturas,Investimentos,Outros"</formula1>
    </dataValidation>
    <dataValidation type="list" sqref="J18:J29 J31:J47" ns2:uid="{00000000-0002-0000-0100-000003000000}">
      <formula1>"RECEITA,DESPESA,INVESTIMENTO"</formula1>
    </dataValidation>
    <dataValidation type="list" sqref="L18:L29 L31:L47" ns2:uid="{00000000-0002-0000-0100-000004000000}">
      <formula1>"Pix,Cartão de débito,Cartão de crédito,Dinheiro,Boleto,Transferência"</formula1>
    </dataValidation>
    <dataValidation type="list" sqref="M18:M29 M31:M47" ns2:uid="{00000000-0002-0000-0100-000005000000}">
      <formula1>"PENDENTE,PAGO"</formula1>
    </dataValidation>
  </dataValidations>
  <pageMargins left="0.7" right="0.7" top="0.75" bottom="0.75" header="0.3" footer="0.3"/>
  <drawing ns4:id="rId1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200-000000000000}">
  <dimension ref="A1:Q65"/>
  <sheetViews>
    <sheetView showGridLines="0" workbookViewId="0">
      <selection activeCell="I35" sqref="I35"/>
    </sheetView>
  </sheetViews>
  <sheetFormatPr defaultRowHeight="12.75" ns3:dyDescent="0.15"/>
  <cols>
    <col min="1" max="1" width="28.046875" customWidth="1"/>
    <col min="2" max="2" width="19.95703125" customWidth="1"/>
    <col min="3" max="3" width="17.93359375" customWidth="1"/>
    <col min="4" max="4" width="21.03515625" customWidth="1"/>
    <col min="5" max="5" width="17.39453125" customWidth="1"/>
    <col min="6" max="6" width="13.484375" customWidth="1"/>
    <col min="7" max="7" width="32.36328125" customWidth="1"/>
    <col min="8" max="8" width="15.37109375" customWidth="1"/>
    <col min="9" max="9" width="26.96875" customWidth="1"/>
    <col min="10" max="10" width="19.01171875" customWidth="1"/>
    <col min="11" max="11" width="17.6640625" customWidth="1"/>
    <col min="12" max="12" width="13.484375" customWidth="1"/>
    <col min="14" max="14" width="16.71875" customWidth="1"/>
    <col min="15" max="15" width="18.33984375" customWidth="1"/>
    <col min="16" max="16" width="17.6640625" customWidth="1"/>
    <col min="17" max="17" width="13.75390625" customWidth="1"/>
    <col min="18" max="18" width="19.01171875" customWidth="1"/>
    <col min="19" max="19" width="23.734375" customWidth="1"/>
    <col min="20" max="22" width="9.16796875" customWidth="1"/>
  </cols>
  <sheetData>
    <row r="1" spans="1:17" ht="14.25" thickBot="1" ns3:dyDescent="0.2">
      <c r="A1" s="26" t="s">
        <v>121</v>
      </c>
      <c r="B1" s="26" t="s">
        <v>122</v>
      </c>
      <c r="C1" s="260" t="s">
        <v>123</v>
      </c>
      <c r="D1" s="260"/>
      <c r="E1" s="81"/>
      <c r="F1" s="26" t="s">
        <v>45</v>
      </c>
      <c r="G1" s="26" t="s">
        <v>124</v>
      </c>
      <c r="H1" s="84"/>
      <c r="I1" s="85" t="s">
        <v>140</v>
      </c>
      <c r="J1" s="85" t="s">
        <v>141</v>
      </c>
      <c r="K1" s="85" t="s">
        <v>142</v>
      </c>
      <c r="L1" s="84"/>
      <c r="M1" s="84"/>
      <c r="N1" s="86"/>
      <c r="O1" s="86"/>
    </row>
    <row r="2" spans="1:17" ht="15.75" ns3:dyDescent="0.15">
      <c r="A2" s="21" t="s">
        <v>125</v>
      </c>
      <c r="B2" s="21" t="s">
        <v>126</v>
      </c>
      <c r="C2" s="22"/>
      <c r="D2" s="22"/>
      <c r="E2" s="22">
        <f>J9</f>
        <v>31835.24</v>
      </c>
      <c r="F2" s="20">
        <v>46291</v>
      </c>
      <c r="G2" s="49" t="s">
        <v>127</v>
      </c>
      <c r="H2" s="87" t="s">
        <v>149</v>
      </c>
      <c r="I2" s="88">
        <v>0.22</v>
      </c>
      <c r="J2" s="88">
        <v>0.22</v>
      </c>
      <c r="K2" s="89">
        <f>($J$9+$J$10)*J2</f>
        <v>7036.7528000000002</v>
      </c>
      <c r="L2" s="84"/>
      <c r="M2" s="84"/>
      <c r="N2" s="90" t="s">
        <v>133</v>
      </c>
      <c r="O2" s="91">
        <f>$J$9</f>
        <v>31835.24</v>
      </c>
      <c r="P2" s="30"/>
      <c r="Q2" s="30"/>
    </row>
    <row r="3" spans="1:17" ht="15.75" ns3:dyDescent="0.15">
      <c r="A3" s="24" t="s">
        <v>134</v>
      </c>
      <c r="B3" s="24" t="s">
        <v>126</v>
      </c>
      <c r="C3" s="25"/>
      <c r="D3" s="25"/>
      <c r="E3" s="25"/>
      <c r="F3" s="23"/>
      <c r="G3" s="24"/>
      <c r="H3" s="87" t="s">
        <v>155</v>
      </c>
      <c r="I3" s="88">
        <v>0.25</v>
      </c>
      <c r="J3" s="88">
        <v>0.25</v>
      </c>
      <c r="K3" s="89">
        <f>($J$9+$J$10)*J3</f>
        <v>7996.31</v>
      </c>
      <c r="L3" s="84"/>
      <c r="M3" s="84"/>
      <c r="N3" s="92" t="s">
        <v>143</v>
      </c>
      <c r="O3" s="93">
        <v>31896.29</v>
      </c>
    </row>
    <row r="4" spans="1:17" ht="14.25" ns3:dyDescent="0.15">
      <c r="A4" s="21" t="s">
        <v>144</v>
      </c>
      <c r="B4" s="21" t="s">
        <v>126</v>
      </c>
      <c r="C4" s="22"/>
      <c r="D4" s="22"/>
      <c r="E4" s="22"/>
      <c r="F4" s="20"/>
      <c r="G4" s="21"/>
      <c r="H4" s="87" t="s">
        <v>159</v>
      </c>
      <c r="I4" s="88">
        <v>0.25</v>
      </c>
      <c r="J4" s="88">
        <v>0.25</v>
      </c>
      <c r="K4" s="89">
        <f>($J$9+$J$10)*J4</f>
        <v>7996.31</v>
      </c>
      <c r="L4" s="84"/>
      <c r="M4" s="84"/>
      <c r="N4" s="94" t="s">
        <v>150</v>
      </c>
      <c r="O4" s="95">
        <f>O3-O2</f>
        <v>61.049999999999272</v>
      </c>
    </row>
    <row r="5" spans="1:17" ht="13.5" customHeight="1" ns3:dyDescent="0.2">
      <c r="A5" s="24" t="s">
        <v>151</v>
      </c>
      <c r="B5" s="24" t="s">
        <v>126</v>
      </c>
      <c r="C5" s="25"/>
      <c r="D5" s="25"/>
      <c r="E5" s="25"/>
      <c r="F5" s="23"/>
      <c r="G5" s="24"/>
      <c r="H5" s="87" t="s">
        <v>162</v>
      </c>
      <c r="I5" s="88">
        <v>0.03</v>
      </c>
      <c r="J5" s="88">
        <v>0.03</v>
      </c>
      <c r="K5" s="89">
        <f>($J$9+$J$10)*J5</f>
        <v>959.55719999999997</v>
      </c>
      <c r="L5" s="84"/>
      <c r="M5" s="84"/>
      <c r="N5" s="92" t="s">
        <v>156</v>
      </c>
      <c r="O5" s="96">
        <f>O4/O2</f>
        <v>1.917686186754027E-3</v>
      </c>
    </row>
    <row r="6" spans="1:17" ht="14.25" ns3:dyDescent="0.15">
      <c r="A6" s="21" t="s">
        <v>157</v>
      </c>
      <c r="B6" s="21" t="s">
        <v>126</v>
      </c>
      <c r="C6" s="22"/>
      <c r="D6" s="22"/>
      <c r="E6" s="22"/>
      <c r="F6" s="20"/>
      <c r="G6" s="21"/>
      <c r="H6" s="87" t="s">
        <v>166</v>
      </c>
      <c r="I6" s="88">
        <v>0.25</v>
      </c>
      <c r="J6" s="88">
        <v>0.25</v>
      </c>
      <c r="K6" s="89">
        <f>($J$9+$J$10)*J6</f>
        <v>7996.31</v>
      </c>
      <c r="L6" s="84"/>
      <c r="M6" s="84"/>
      <c r="N6" s="97"/>
      <c r="O6" s="98"/>
    </row>
    <row r="7" spans="1:17" ht="13.5" customHeight="1" ns3:dyDescent="0.3">
      <c r="A7" s="24" t="s">
        <v>160</v>
      </c>
      <c r="B7" s="24" t="s">
        <v>126</v>
      </c>
      <c r="C7" s="25"/>
      <c r="D7" s="25"/>
      <c r="E7" s="25"/>
      <c r="F7" s="23"/>
      <c r="G7" s="24"/>
      <c r="H7" s="84"/>
      <c r="I7" s="88"/>
      <c r="J7" s="88"/>
      <c r="K7" s="89"/>
      <c r="L7" s="84"/>
      <c r="M7" s="84"/>
      <c r="N7" s="256" t="s">
        <v>163</v>
      </c>
      <c r="O7" s="257"/>
    </row>
    <row r="8" spans="1:17" ht="13.5" customHeight="1" thickBot="1" ns3:dyDescent="0.3">
      <c r="A8" s="21" t="s">
        <v>164</v>
      </c>
      <c r="B8" s="21" t="s">
        <v>126</v>
      </c>
      <c r="C8" s="22"/>
      <c r="D8" s="22"/>
      <c r="E8" s="22"/>
      <c r="F8" s="20"/>
      <c r="G8" s="21"/>
      <c r="H8" s="84"/>
      <c r="I8" s="84"/>
      <c r="J8" s="84"/>
      <c r="K8" s="84"/>
      <c r="L8" s="84"/>
      <c r="M8" s="84"/>
      <c r="N8" s="99" t="s">
        <v>167</v>
      </c>
      <c r="O8" s="100"/>
    </row>
    <row r="9" spans="1:17" ht="20.25" customHeight="1" thickBot="1" ns3:dyDescent="0.3">
      <c r="A9" s="24" t="s">
        <v>168</v>
      </c>
      <c r="B9" s="24" t="s">
        <v>126</v>
      </c>
      <c r="C9" s="25"/>
      <c r="D9" s="25"/>
      <c r="E9" s="25"/>
      <c r="F9" s="23"/>
      <c r="G9" s="24"/>
      <c r="H9" s="84"/>
      <c r="I9" s="101" t="s">
        <v>175</v>
      </c>
      <c r="J9" s="102">
        <v>31835.24</v>
      </c>
      <c r="K9" s="84"/>
      <c r="L9" s="84"/>
      <c r="M9" s="84"/>
      <c r="N9" s="103">
        <v>2585.83</v>
      </c>
      <c r="O9" s="104"/>
    </row>
    <row r="10" spans="1:17" ht="20.25" customHeight="1" thickBot="1" ns3:dyDescent="0.2">
      <c r="A10" s="21" t="s">
        <v>146</v>
      </c>
      <c r="B10" s="21" t="s">
        <v>170</v>
      </c>
      <c r="C10" s="22"/>
      <c r="D10" s="22"/>
      <c r="E10" s="22"/>
      <c r="F10" s="20"/>
      <c r="G10" s="21" t="s">
        <v>119</v>
      </c>
      <c r="H10" s="84"/>
      <c r="I10" s="105" t="s">
        <v>177</v>
      </c>
      <c r="J10" s="106">
        <v>150</v>
      </c>
      <c r="K10" s="84"/>
      <c r="L10" s="84"/>
      <c r="M10" s="84"/>
      <c r="N10" s="107" t="s">
        <v>172</v>
      </c>
      <c r="O10" s="108" t="s">
        <v>173</v>
      </c>
    </row>
    <row r="11" spans="1:17" ht="18" customHeight="1" ns3:dyDescent="0.15">
      <c r="A11" s="24" t="s">
        <v>152</v>
      </c>
      <c r="B11" s="24" t="s">
        <v>170</v>
      </c>
      <c r="C11" s="25"/>
      <c r="D11" s="25"/>
      <c r="E11" s="25"/>
      <c r="F11" s="23"/>
      <c r="G11" s="24"/>
      <c r="H11" s="84"/>
      <c r="I11" s="84"/>
      <c r="J11" s="84"/>
      <c r="K11" s="84"/>
      <c r="L11" s="84"/>
      <c r="M11" s="84"/>
      <c r="N11" s="109">
        <f>(N9+O4)/O2</f>
        <v>8.3143082948330185E-2</v>
      </c>
      <c r="O11" s="110">
        <f>((N9+O3)/O2)^(1/1)-1</f>
        <v>8.3143082948330171E-2</v>
      </c>
    </row>
    <row r="12" spans="1:17" ht="15" customHeight="1" thickBot="1" ns3:dyDescent="0.2">
      <c r="A12" s="21" t="s">
        <v>158</v>
      </c>
      <c r="B12" s="21" t="s">
        <v>170</v>
      </c>
      <c r="C12" s="22"/>
      <c r="D12" s="22"/>
      <c r="E12" s="22"/>
      <c r="F12" s="20"/>
      <c r="G12" s="21"/>
      <c r="H12" s="84"/>
      <c r="I12" s="84"/>
      <c r="J12" s="84"/>
      <c r="K12" s="84"/>
      <c r="L12" s="84"/>
      <c r="M12" s="84"/>
      <c r="N12" s="111"/>
      <c r="O12" s="112"/>
    </row>
    <row r="13" spans="1:17" ns3:dyDescent="0.15">
      <c r="A13" s="24" t="s">
        <v>161</v>
      </c>
      <c r="B13" s="24" t="s">
        <v>170</v>
      </c>
      <c r="C13" s="25"/>
      <c r="D13" s="25"/>
      <c r="E13" s="25"/>
      <c r="F13" s="23"/>
      <c r="G13" s="24"/>
      <c r="H13" s="84"/>
      <c r="I13" s="84"/>
      <c r="J13" s="84"/>
      <c r="K13" s="84"/>
      <c r="L13" s="84"/>
      <c r="M13" s="84"/>
      <c r="N13" s="113"/>
      <c r="O13" s="113"/>
    </row>
    <row r="14" spans="1:17" ht="13.5" thickBot="1" ns3:dyDescent="0.2">
      <c r="A14" s="21" t="s">
        <v>165</v>
      </c>
      <c r="B14" s="21" t="s">
        <v>170</v>
      </c>
      <c r="C14" s="22"/>
      <c r="D14" s="22"/>
      <c r="E14" s="22"/>
      <c r="F14" s="20"/>
      <c r="G14" s="21"/>
      <c r="H14" s="258" t="s">
        <v>255</v>
      </c>
      <c r="I14" s="259"/>
      <c r="J14" s="259"/>
      <c r="K14" s="259"/>
      <c r="L14" s="259"/>
      <c r="M14" s="84"/>
      <c r="N14" s="84"/>
      <c r="O14" s="84"/>
    </row>
    <row r="15" spans="1:17" ns3:dyDescent="0.15">
      <c r="A15" s="24" t="s">
        <v>169</v>
      </c>
      <c r="B15" s="24" t="s">
        <v>170</v>
      </c>
      <c r="C15" s="25"/>
      <c r="D15" s="25"/>
      <c r="E15" s="25"/>
      <c r="F15" s="23"/>
      <c r="G15" s="24"/>
      <c r="H15" s="114" t="s">
        <v>128</v>
      </c>
      <c r="I15" s="115" t="s">
        <v>129</v>
      </c>
      <c r="J15" s="115" t="s">
        <v>130</v>
      </c>
      <c r="K15" s="115" t="s">
        <v>131</v>
      </c>
      <c r="L15" s="116" t="s">
        <v>132</v>
      </c>
      <c r="M15" s="84"/>
      <c r="N15" s="84"/>
      <c r="O15" s="84"/>
    </row>
    <row r="16" spans="1:17" ns3:dyDescent="0.15">
      <c r="A16" s="21" t="s">
        <v>171</v>
      </c>
      <c r="B16" s="21" t="s">
        <v>170</v>
      </c>
      <c r="C16" s="22"/>
      <c r="D16" s="22"/>
      <c r="E16" s="22"/>
      <c r="F16" s="20"/>
      <c r="G16" s="21"/>
      <c r="H16" s="117" t="s">
        <v>135</v>
      </c>
      <c r="I16" s="118" t="s">
        <v>136</v>
      </c>
      <c r="J16" s="118" t="s">
        <v>137</v>
      </c>
      <c r="K16" s="118" t="s">
        <v>138</v>
      </c>
      <c r="L16" s="119" t="s">
        <v>139</v>
      </c>
      <c r="M16" s="84"/>
      <c r="N16" s="84"/>
      <c r="O16" s="84"/>
    </row>
    <row r="17" spans="1:15" ns3:dyDescent="0.15">
      <c r="A17" s="24" t="s">
        <v>174</v>
      </c>
      <c r="B17" s="24" t="s">
        <v>170</v>
      </c>
      <c r="C17" s="25"/>
      <c r="D17" s="25"/>
      <c r="E17" s="25"/>
      <c r="F17" s="23"/>
      <c r="G17" s="24"/>
      <c r="H17" s="120" t="s">
        <v>145</v>
      </c>
      <c r="I17" s="113" t="s">
        <v>125</v>
      </c>
      <c r="J17" s="113" t="s">
        <v>146</v>
      </c>
      <c r="K17" s="113" t="s">
        <v>147</v>
      </c>
      <c r="L17" s="98" t="s">
        <v>148</v>
      </c>
      <c r="M17" s="84"/>
      <c r="N17" s="84"/>
      <c r="O17" s="84"/>
    </row>
    <row r="18" spans="1:15" ns3:dyDescent="0.15">
      <c r="A18" s="21" t="s">
        <v>176</v>
      </c>
      <c r="B18" s="21" t="s">
        <v>170</v>
      </c>
      <c r="C18" s="22"/>
      <c r="D18" s="22"/>
      <c r="E18" s="22"/>
      <c r="F18" s="20"/>
      <c r="G18" s="21"/>
      <c r="H18" s="120"/>
      <c r="I18" s="113" t="s">
        <v>134</v>
      </c>
      <c r="J18" s="113" t="s">
        <v>152</v>
      </c>
      <c r="K18" s="113" t="s">
        <v>153</v>
      </c>
      <c r="L18" s="98" t="s">
        <v>154</v>
      </c>
      <c r="M18" s="84"/>
      <c r="N18" s="84"/>
      <c r="O18" s="84"/>
    </row>
    <row r="19" spans="1:15" ns3:dyDescent="0.15">
      <c r="A19" s="24" t="s">
        <v>147</v>
      </c>
      <c r="B19" s="24" t="s">
        <v>181</v>
      </c>
      <c r="C19" s="25"/>
      <c r="D19" s="25"/>
      <c r="E19" s="25"/>
      <c r="F19" s="23"/>
      <c r="G19" s="24"/>
      <c r="H19" s="120"/>
      <c r="I19" s="113" t="s">
        <v>144</v>
      </c>
      <c r="J19" s="113" t="s">
        <v>158</v>
      </c>
      <c r="K19" s="113"/>
      <c r="L19" s="98"/>
      <c r="M19" s="84"/>
      <c r="N19" s="84"/>
      <c r="O19" s="84"/>
    </row>
    <row r="20" spans="1:15" ns3:dyDescent="0.15">
      <c r="A20" s="21" t="s">
        <v>153</v>
      </c>
      <c r="B20" s="21" t="s">
        <v>181</v>
      </c>
      <c r="C20" s="22"/>
      <c r="D20" s="22"/>
      <c r="E20" s="22"/>
      <c r="F20" s="20"/>
      <c r="G20" s="21"/>
      <c r="H20" s="120"/>
      <c r="I20" s="113" t="s">
        <v>151</v>
      </c>
      <c r="J20" s="113" t="s">
        <v>161</v>
      </c>
      <c r="K20" s="113"/>
      <c r="L20" s="98"/>
      <c r="M20" s="84"/>
      <c r="N20" s="84"/>
      <c r="O20" s="84"/>
    </row>
    <row r="21" spans="1:15" ns3:dyDescent="0.15">
      <c r="A21" s="24" t="s">
        <v>148</v>
      </c>
      <c r="B21" s="24" t="s">
        <v>182</v>
      </c>
      <c r="C21" s="25"/>
      <c r="D21" s="25"/>
      <c r="E21" s="25"/>
      <c r="F21" s="23"/>
      <c r="G21" s="24"/>
      <c r="H21" s="120"/>
      <c r="I21" s="113" t="s">
        <v>157</v>
      </c>
      <c r="J21" s="113" t="s">
        <v>165</v>
      </c>
      <c r="K21" s="113"/>
      <c r="L21" s="98"/>
      <c r="M21" s="84"/>
      <c r="N21" s="84"/>
      <c r="O21" s="84"/>
    </row>
    <row r="22" spans="1:15" ns3:dyDescent="0.15">
      <c r="A22" s="21" t="s">
        <v>154</v>
      </c>
      <c r="B22" s="21" t="s">
        <v>182</v>
      </c>
      <c r="C22" s="22"/>
      <c r="D22" s="22"/>
      <c r="E22" s="22"/>
      <c r="F22" s="20"/>
      <c r="G22" s="21"/>
      <c r="H22" s="120"/>
      <c r="I22" s="113" t="s">
        <v>160</v>
      </c>
      <c r="J22" s="113" t="s">
        <v>169</v>
      </c>
      <c r="K22" s="113"/>
      <c r="L22" s="98"/>
      <c r="M22" s="84"/>
      <c r="N22" s="84"/>
      <c r="O22" s="84"/>
    </row>
    <row r="23" spans="1:15" ns3:dyDescent="0.15">
      <c r="A23" s="50" t="s">
        <v>183</v>
      </c>
      <c r="B23" s="24" t="s">
        <v>184</v>
      </c>
      <c r="C23" s="25"/>
      <c r="D23" s="25"/>
      <c r="E23" s="25"/>
      <c r="F23" s="23"/>
      <c r="G23" s="24"/>
      <c r="H23" s="120"/>
      <c r="I23" s="113" t="s">
        <v>164</v>
      </c>
      <c r="J23" s="113" t="s">
        <v>171</v>
      </c>
      <c r="K23" s="113"/>
      <c r="L23" s="98"/>
      <c r="M23" s="84"/>
      <c r="N23" s="84"/>
      <c r="O23" s="84"/>
    </row>
    <row r="24" spans="1:15" ns3:dyDescent="0.15">
      <c r="A24" s="21"/>
      <c r="B24" s="21"/>
      <c r="C24" s="22"/>
      <c r="D24" s="22"/>
      <c r="E24" s="22"/>
      <c r="F24" s="20"/>
      <c r="G24" s="21"/>
      <c r="H24" s="121"/>
      <c r="I24" s="84" t="s">
        <v>168</v>
      </c>
      <c r="J24" s="84" t="s">
        <v>174</v>
      </c>
      <c r="K24" s="84"/>
      <c r="L24" s="122"/>
      <c r="M24" s="84"/>
      <c r="N24" s="84"/>
      <c r="O24" s="84"/>
    </row>
    <row r="25" spans="1:15" ns3:dyDescent="0.15">
      <c r="A25" s="24"/>
      <c r="B25" s="24"/>
      <c r="C25" s="25"/>
      <c r="D25" s="25"/>
      <c r="E25" s="25"/>
      <c r="F25" s="23"/>
      <c r="G25" s="24"/>
      <c r="H25" s="121"/>
      <c r="I25" s="84"/>
      <c r="J25" s="84" t="s">
        <v>176</v>
      </c>
      <c r="K25" s="84"/>
      <c r="L25" s="122"/>
      <c r="M25" s="84"/>
      <c r="N25" s="84"/>
      <c r="O25" s="84"/>
    </row>
    <row r="26" spans="1:15" ht="13.5" thickBot="1" ns3:dyDescent="0.2">
      <c r="A26" s="21"/>
      <c r="B26" s="21"/>
      <c r="C26" s="21"/>
      <c r="D26" s="21"/>
      <c r="E26" s="21"/>
      <c r="F26" s="21"/>
      <c r="G26" s="21"/>
      <c r="H26" s="123"/>
      <c r="I26" s="124"/>
      <c r="J26" s="124" t="s">
        <v>178</v>
      </c>
      <c r="K26" s="124"/>
      <c r="L26" s="125"/>
      <c r="M26" s="84"/>
      <c r="N26" s="84"/>
      <c r="O26" s="84"/>
    </row>
    <row r="27" spans="1:15" ns3:dyDescent="0.15">
      <c r="A27" s="26" t="s">
        <v>185</v>
      </c>
      <c r="B27" s="26" t="s">
        <v>186</v>
      </c>
      <c r="C27" s="26" t="s">
        <v>123</v>
      </c>
      <c r="D27" s="26" t="s">
        <v>187</v>
      </c>
      <c r="E27" s="26" t="s">
        <v>188</v>
      </c>
      <c r="F27" s="26" t="s">
        <v>189</v>
      </c>
      <c r="G27" s="26" t="s">
        <v>23</v>
      </c>
      <c r="H27" s="84" t="s">
        <v>179</v>
      </c>
      <c r="I27" s="84"/>
      <c r="J27" s="126" t="s">
        <v>180</v>
      </c>
      <c r="K27" s="84"/>
      <c r="L27" s="84"/>
      <c r="M27" s="84"/>
      <c r="N27" s="84"/>
      <c r="O27" s="84"/>
    </row>
    <row r="28" spans="1:15" ns3:dyDescent="0.15">
      <c r="A28" s="21" t="s">
        <v>190</v>
      </c>
      <c r="B28" s="22">
        <v>100000</v>
      </c>
      <c r="C28" s="22">
        <f>J9</f>
        <v>31835.24</v>
      </c>
      <c r="D28" s="22">
        <f t="shared" ref="D28:D65" si="0">MAX(B28-C28,0)</f>
        <v>68164.759999999995</v>
      </c>
      <c r="E28" s="20">
        <v>47269</v>
      </c>
      <c r="F28" s="27">
        <f t="shared" ref="F28:F65" si="1">IFERROR(C28/B28,0)</f>
        <v>0.31835240000000004</v>
      </c>
      <c r="G28" s="22">
        <f ca="1">IFERROR(PMT((1+10%)^(1/12)-1,DATEDIF(TODAY(),E28,"m"),C28,-B28,0),0)</f>
        <v>1624.4943501025257</v>
      </c>
      <c r="H28" s="84"/>
      <c r="I28" s="84"/>
      <c r="J28" s="84"/>
      <c r="K28" s="84"/>
      <c r="L28" s="84"/>
      <c r="M28" s="84"/>
      <c r="N28" s="84"/>
      <c r="O28" s="84"/>
    </row>
    <row r="29" spans="1:15" ns3:dyDescent="0.15">
      <c r="A29" s="22"/>
      <c r="B29" s="22"/>
      <c r="C29" s="22"/>
      <c r="D29" s="22">
        <f t="shared" si="0"/>
        <v>0</v>
      </c>
      <c r="E29" s="21"/>
      <c r="F29" s="27">
        <f t="shared" si="1"/>
        <v>0</v>
      </c>
      <c r="G29" s="22">
        <f ca="1">IFERROR(PMT((1+10%)^(1/12)-1,DATEDIF(TODAY(),E29,"m"),C29,-B29,0),0)</f>
        <v>0</v>
      </c>
      <c r="H29" s="84"/>
      <c r="I29" s="84"/>
      <c r="J29" s="84"/>
      <c r="K29" s="84"/>
      <c r="L29" s="84"/>
      <c r="M29" s="84"/>
      <c r="N29" s="84"/>
      <c r="O29" s="84"/>
    </row>
    <row r="30" spans="1:15" ns3:dyDescent="0.15">
      <c r="A30" s="75"/>
      <c r="B30" s="77"/>
      <c r="C30" s="76"/>
      <c r="D30" s="75">
        <f t="shared" si="0"/>
        <v>0</v>
      </c>
      <c r="E30" s="77"/>
      <c r="F30" s="27">
        <f t="shared" si="1"/>
        <v>0</v>
      </c>
      <c r="G30" s="75">
        <f t="shared" ref="G30:G65" ca="1" si="2">IFERROR(PMT((1+10%)^(1/12)-1,DATEDIF(TODAY(),E30,"m"),C30,-B30,0),0)</f>
        <v>0</v>
      </c>
      <c r="H30" s="84"/>
      <c r="I30" s="84"/>
      <c r="J30" s="84"/>
      <c r="K30" s="84"/>
      <c r="L30" s="84"/>
      <c r="M30" s="84"/>
      <c r="N30" s="84"/>
      <c r="O30" s="84"/>
    </row>
    <row r="31" spans="1:15" ns3:dyDescent="0.15">
      <c r="A31" s="78"/>
      <c r="B31" s="79"/>
      <c r="C31" s="80"/>
      <c r="D31" s="78">
        <f t="shared" si="0"/>
        <v>0</v>
      </c>
      <c r="E31" s="79"/>
      <c r="F31" s="27">
        <f t="shared" si="1"/>
        <v>0</v>
      </c>
      <c r="G31" s="78">
        <f t="shared" ca="1" si="2"/>
        <v>0</v>
      </c>
      <c r="H31" s="84"/>
      <c r="I31" s="84"/>
      <c r="J31" s="84"/>
      <c r="K31" s="84"/>
      <c r="L31" s="84"/>
      <c r="M31" s="84"/>
      <c r="N31" s="84"/>
      <c r="O31" s="84"/>
    </row>
    <row r="32" spans="1:15" ns3:dyDescent="0.15">
      <c r="A32" s="75"/>
      <c r="B32" s="77"/>
      <c r="C32" s="76"/>
      <c r="D32" s="75">
        <f t="shared" si="0"/>
        <v>0</v>
      </c>
      <c r="E32" s="77"/>
      <c r="F32" s="27">
        <f t="shared" si="1"/>
        <v>0</v>
      </c>
      <c r="G32" s="75">
        <f t="shared" ca="1" si="2"/>
        <v>0</v>
      </c>
      <c r="H32" s="84"/>
      <c r="I32" s="84"/>
      <c r="J32" s="84"/>
      <c r="K32" s="84"/>
      <c r="L32" s="84"/>
      <c r="M32" s="84"/>
      <c r="N32" s="84"/>
      <c r="O32" s="84"/>
    </row>
    <row r="33" spans="1:15" ns3:dyDescent="0.15">
      <c r="A33" s="78"/>
      <c r="B33" s="79"/>
      <c r="C33" s="80"/>
      <c r="D33" s="82">
        <f t="shared" si="0"/>
        <v>0</v>
      </c>
      <c r="E33" s="79"/>
      <c r="F33" s="27">
        <f t="shared" si="1"/>
        <v>0</v>
      </c>
      <c r="G33" s="78">
        <f t="shared" ca="1" si="2"/>
        <v>0</v>
      </c>
      <c r="H33" s="84"/>
      <c r="I33" s="84"/>
      <c r="J33" s="84"/>
      <c r="K33" s="84"/>
      <c r="L33" s="84"/>
      <c r="M33" s="84"/>
      <c r="N33" s="84"/>
      <c r="O33" s="84"/>
    </row>
    <row r="34" spans="1:15" ns3:dyDescent="0.15">
      <c r="A34" s="75"/>
      <c r="B34" s="77"/>
      <c r="C34" s="76"/>
      <c r="D34" s="83">
        <f t="shared" si="0"/>
        <v>0</v>
      </c>
      <c r="E34" s="77"/>
      <c r="F34" s="27">
        <f t="shared" si="1"/>
        <v>0</v>
      </c>
      <c r="G34" s="75">
        <f t="shared" ca="1" si="2"/>
        <v>0</v>
      </c>
      <c r="H34" s="84"/>
      <c r="I34" s="84"/>
      <c r="J34" s="84"/>
      <c r="K34" s="84"/>
      <c r="L34" s="84"/>
      <c r="M34" s="84"/>
      <c r="N34" s="84"/>
      <c r="O34" s="84"/>
    </row>
    <row r="35" spans="1:15" ns3:dyDescent="0.15">
      <c r="A35" s="78"/>
      <c r="B35" s="79"/>
      <c r="C35" s="80"/>
      <c r="D35" s="82">
        <f t="shared" si="0"/>
        <v>0</v>
      </c>
      <c r="E35" s="79"/>
      <c r="F35" s="27">
        <f t="shared" si="1"/>
        <v>0</v>
      </c>
      <c r="G35" s="78">
        <f t="shared" ca="1" si="2"/>
        <v>0</v>
      </c>
      <c r="H35" s="84"/>
      <c r="I35" s="84"/>
      <c r="J35" s="84"/>
      <c r="K35" s="84"/>
      <c r="L35" s="84"/>
      <c r="M35" s="84"/>
      <c r="N35" s="84"/>
      <c r="O35" s="84"/>
    </row>
    <row r="36" spans="1:15" ns3:dyDescent="0.15">
      <c r="A36" s="75"/>
      <c r="B36" s="77"/>
      <c r="C36" s="76"/>
      <c r="D36" s="83">
        <f t="shared" si="0"/>
        <v>0</v>
      </c>
      <c r="E36" s="77"/>
      <c r="F36" s="27">
        <f t="shared" si="1"/>
        <v>0</v>
      </c>
      <c r="G36" s="75">
        <f t="shared" ca="1" si="2"/>
        <v>0</v>
      </c>
      <c r="H36" s="84"/>
      <c r="I36" s="84"/>
      <c r="J36" s="84"/>
      <c r="K36" s="84"/>
      <c r="L36" s="84"/>
      <c r="M36" s="84"/>
      <c r="N36" s="84"/>
      <c r="O36" s="84"/>
    </row>
    <row r="37" spans="1:15" ns3:dyDescent="0.15">
      <c r="A37" s="78"/>
      <c r="B37" s="79"/>
      <c r="C37" s="80"/>
      <c r="D37" s="82">
        <f t="shared" si="0"/>
        <v>0</v>
      </c>
      <c r="E37" s="79"/>
      <c r="F37" s="27">
        <f t="shared" si="1"/>
        <v>0</v>
      </c>
      <c r="G37" s="78">
        <f t="shared" ca="1" si="2"/>
        <v>0</v>
      </c>
      <c r="H37" s="84"/>
      <c r="I37" s="84"/>
      <c r="J37" s="84"/>
      <c r="K37" s="84"/>
      <c r="L37" s="84"/>
      <c r="M37" s="84"/>
      <c r="N37" s="84"/>
      <c r="O37" s="84"/>
    </row>
    <row r="38" spans="1:15" ns3:dyDescent="0.15">
      <c r="A38" s="75"/>
      <c r="B38" s="77"/>
      <c r="C38" s="76"/>
      <c r="D38" s="83">
        <f t="shared" si="0"/>
        <v>0</v>
      </c>
      <c r="E38" s="77"/>
      <c r="F38" s="27">
        <f t="shared" si="1"/>
        <v>0</v>
      </c>
      <c r="G38" s="75">
        <f t="shared" ca="1" si="2"/>
        <v>0</v>
      </c>
      <c r="H38" s="84"/>
      <c r="I38" s="84"/>
      <c r="J38" s="84"/>
      <c r="K38" s="84"/>
      <c r="L38" s="84"/>
      <c r="M38" s="84"/>
      <c r="N38" s="84"/>
      <c r="O38" s="84"/>
    </row>
    <row r="39" spans="1:15" ns3:dyDescent="0.15">
      <c r="A39" s="78"/>
      <c r="B39" s="79"/>
      <c r="C39" s="80"/>
      <c r="D39" s="82">
        <f t="shared" si="0"/>
        <v>0</v>
      </c>
      <c r="E39" s="79"/>
      <c r="F39" s="27">
        <f t="shared" si="1"/>
        <v>0</v>
      </c>
      <c r="G39" s="78">
        <f t="shared" ca="1" si="2"/>
        <v>0</v>
      </c>
      <c r="H39" s="84"/>
      <c r="I39" s="84"/>
      <c r="J39" s="84"/>
      <c r="K39" s="84"/>
      <c r="L39" s="84"/>
      <c r="M39" s="84"/>
      <c r="N39" s="84"/>
      <c r="O39" s="84"/>
    </row>
    <row r="40" spans="1:15" ns3:dyDescent="0.15">
      <c r="A40" s="75"/>
      <c r="B40" s="77"/>
      <c r="C40" s="76"/>
      <c r="D40" s="83">
        <f t="shared" si="0"/>
        <v>0</v>
      </c>
      <c r="E40" s="77"/>
      <c r="F40" s="27">
        <f t="shared" si="1"/>
        <v>0</v>
      </c>
      <c r="G40" s="75">
        <f t="shared" ca="1" si="2"/>
        <v>0</v>
      </c>
      <c r="H40" s="84"/>
      <c r="I40" s="84"/>
      <c r="J40" s="84"/>
      <c r="K40" s="84"/>
      <c r="L40" s="84"/>
      <c r="M40" s="84"/>
      <c r="N40" s="84"/>
      <c r="O40" s="84"/>
    </row>
    <row r="41" spans="1:15" ht="13.5" customHeight="1" ns3:dyDescent="0.15">
      <c r="A41" s="78"/>
      <c r="B41" s="79"/>
      <c r="C41" s="80"/>
      <c r="D41" s="82">
        <f t="shared" si="0"/>
        <v>0</v>
      </c>
      <c r="E41" s="79"/>
      <c r="F41" s="27">
        <f t="shared" si="1"/>
        <v>0</v>
      </c>
      <c r="G41" s="78">
        <f t="shared" ca="1" si="2"/>
        <v>0</v>
      </c>
      <c r="H41" s="84"/>
      <c r="I41" s="84"/>
      <c r="J41" s="84"/>
      <c r="K41" s="84"/>
      <c r="L41" s="84"/>
      <c r="M41" s="84"/>
      <c r="N41" s="84"/>
      <c r="O41" s="84"/>
    </row>
    <row r="42" spans="1:15" ht="13.5" customHeight="1" ns3:dyDescent="0.15">
      <c r="A42" s="75"/>
      <c r="B42" s="77"/>
      <c r="C42" s="76"/>
      <c r="D42" s="83">
        <f t="shared" si="0"/>
        <v>0</v>
      </c>
      <c r="E42" s="77"/>
      <c r="F42" s="27">
        <f t="shared" si="1"/>
        <v>0</v>
      </c>
      <c r="G42" s="75">
        <f t="shared" ca="1" si="2"/>
        <v>0</v>
      </c>
      <c r="H42" s="84"/>
      <c r="I42" s="84"/>
      <c r="J42" s="84"/>
      <c r="K42" s="84"/>
      <c r="L42" s="84"/>
      <c r="M42" s="84"/>
      <c r="N42" s="84"/>
      <c r="O42" s="84"/>
    </row>
    <row r="43" spans="1:15" ns3:dyDescent="0.15">
      <c r="A43" s="78"/>
      <c r="B43" s="79"/>
      <c r="C43" s="80"/>
      <c r="D43" s="82">
        <f t="shared" si="0"/>
        <v>0</v>
      </c>
      <c r="E43" s="79"/>
      <c r="F43" s="27">
        <f t="shared" si="1"/>
        <v>0</v>
      </c>
      <c r="G43" s="78">
        <f t="shared" ca="1" si="2"/>
        <v>0</v>
      </c>
      <c r="H43" s="84"/>
      <c r="I43" s="84"/>
      <c r="J43" s="84"/>
      <c r="K43" s="84"/>
      <c r="L43" s="84"/>
      <c r="M43" s="84"/>
      <c r="N43" s="84"/>
      <c r="O43" s="84"/>
    </row>
    <row r="44" spans="1:15" ns3:dyDescent="0.15">
      <c r="A44" s="75"/>
      <c r="B44" s="77"/>
      <c r="C44" s="76"/>
      <c r="D44" s="83">
        <f t="shared" si="0"/>
        <v>0</v>
      </c>
      <c r="E44" s="77"/>
      <c r="F44" s="27">
        <f t="shared" si="1"/>
        <v>0</v>
      </c>
      <c r="G44" s="75">
        <f t="shared" ca="1" si="2"/>
        <v>0</v>
      </c>
      <c r="H44" s="84"/>
      <c r="I44" s="84"/>
      <c r="J44" s="84"/>
      <c r="K44" s="84"/>
      <c r="L44" s="84"/>
      <c r="M44" s="84"/>
      <c r="N44" s="84"/>
      <c r="O44" s="84"/>
    </row>
    <row r="45" spans="1:15" ns3:dyDescent="0.15">
      <c r="A45" s="78"/>
      <c r="B45" s="79"/>
      <c r="C45" s="80"/>
      <c r="D45" s="82">
        <f t="shared" si="0"/>
        <v>0</v>
      </c>
      <c r="E45" s="79"/>
      <c r="F45" s="27">
        <f t="shared" si="1"/>
        <v>0</v>
      </c>
      <c r="G45" s="78">
        <f t="shared" ca="1" si="2"/>
        <v>0</v>
      </c>
      <c r="H45" s="84"/>
      <c r="I45" s="84"/>
      <c r="J45" s="84"/>
      <c r="K45" s="84"/>
      <c r="L45" s="84"/>
      <c r="M45" s="84"/>
      <c r="N45" s="84"/>
      <c r="O45" s="84"/>
    </row>
    <row r="46" spans="1:15" ns3:dyDescent="0.15">
      <c r="A46" s="75"/>
      <c r="B46" s="77"/>
      <c r="C46" s="76"/>
      <c r="D46" s="83">
        <f t="shared" si="0"/>
        <v>0</v>
      </c>
      <c r="E46" s="77"/>
      <c r="F46" s="27">
        <f t="shared" si="1"/>
        <v>0</v>
      </c>
      <c r="G46" s="75">
        <f t="shared" ca="1" si="2"/>
        <v>0</v>
      </c>
      <c r="H46" s="84"/>
      <c r="I46" s="84"/>
      <c r="J46" s="84"/>
      <c r="K46" s="84"/>
      <c r="L46" s="84"/>
      <c r="M46" s="84"/>
      <c r="N46" s="84"/>
      <c r="O46" s="84"/>
    </row>
    <row r="47" spans="1:15" ns3:dyDescent="0.15">
      <c r="A47" s="78"/>
      <c r="B47" s="79"/>
      <c r="C47" s="80"/>
      <c r="D47" s="82">
        <f t="shared" si="0"/>
        <v>0</v>
      </c>
      <c r="E47" s="79"/>
      <c r="F47" s="27">
        <f t="shared" si="1"/>
        <v>0</v>
      </c>
      <c r="G47" s="78">
        <f t="shared" ca="1" si="2"/>
        <v>0</v>
      </c>
      <c r="H47" s="84"/>
      <c r="I47" s="84"/>
      <c r="J47" s="84"/>
      <c r="K47" s="84"/>
      <c r="L47" s="84"/>
      <c r="M47" s="84"/>
      <c r="N47" s="84"/>
      <c r="O47" s="84"/>
    </row>
    <row r="48" spans="1:15" ns3:dyDescent="0.15">
      <c r="A48" s="75"/>
      <c r="B48" s="77"/>
      <c r="C48" s="76"/>
      <c r="D48" s="83">
        <f t="shared" si="0"/>
        <v>0</v>
      </c>
      <c r="E48" s="77"/>
      <c r="F48" s="27">
        <f t="shared" si="1"/>
        <v>0</v>
      </c>
      <c r="G48" s="75">
        <f t="shared" ca="1" si="2"/>
        <v>0</v>
      </c>
      <c r="H48" s="84"/>
      <c r="I48" s="84"/>
      <c r="J48" s="84"/>
      <c r="K48" s="84"/>
      <c r="L48" s="84"/>
      <c r="M48" s="84"/>
      <c r="N48" s="84"/>
      <c r="O48" s="84"/>
    </row>
    <row r="49" spans="1:15" ns3:dyDescent="0.15">
      <c r="A49" s="78"/>
      <c r="B49" s="79"/>
      <c r="C49" s="80"/>
      <c r="D49" s="82">
        <f t="shared" si="0"/>
        <v>0</v>
      </c>
      <c r="E49" s="79"/>
      <c r="F49" s="27">
        <f t="shared" si="1"/>
        <v>0</v>
      </c>
      <c r="G49" s="78">
        <f t="shared" ca="1" si="2"/>
        <v>0</v>
      </c>
      <c r="H49" s="84"/>
      <c r="I49" s="84"/>
      <c r="J49" s="84"/>
      <c r="K49" s="84"/>
      <c r="L49" s="84"/>
      <c r="M49" s="84"/>
      <c r="N49" s="84"/>
      <c r="O49" s="84"/>
    </row>
    <row r="50" spans="1:15" ns3:dyDescent="0.15">
      <c r="A50" s="75"/>
      <c r="B50" s="77"/>
      <c r="C50" s="76"/>
      <c r="D50" s="83">
        <f t="shared" si="0"/>
        <v>0</v>
      </c>
      <c r="E50" s="77"/>
      <c r="F50" s="27">
        <f t="shared" si="1"/>
        <v>0</v>
      </c>
      <c r="G50" s="75">
        <f t="shared" ca="1" si="2"/>
        <v>0</v>
      </c>
      <c r="H50" s="84"/>
      <c r="I50" s="84"/>
      <c r="J50" s="84"/>
      <c r="K50" s="84"/>
      <c r="L50" s="84"/>
      <c r="M50" s="84"/>
      <c r="N50" s="84"/>
      <c r="O50" s="84"/>
    </row>
    <row r="51" spans="1:15" ns3:dyDescent="0.15">
      <c r="A51" s="78"/>
      <c r="B51" s="79"/>
      <c r="C51" s="80"/>
      <c r="D51" s="82">
        <f t="shared" si="0"/>
        <v>0</v>
      </c>
      <c r="E51" s="79"/>
      <c r="F51" s="27">
        <f t="shared" si="1"/>
        <v>0</v>
      </c>
      <c r="G51" s="78">
        <f t="shared" ca="1" si="2"/>
        <v>0</v>
      </c>
      <c r="H51" s="84"/>
      <c r="I51" s="84"/>
      <c r="J51" s="84"/>
      <c r="K51" s="84"/>
      <c r="L51" s="84"/>
      <c r="M51" s="84"/>
      <c r="N51" s="84"/>
      <c r="O51" s="84"/>
    </row>
    <row r="52" spans="1:15" ns3:dyDescent="0.15">
      <c r="A52" s="75"/>
      <c r="B52" s="77"/>
      <c r="C52" s="76"/>
      <c r="D52" s="83">
        <f t="shared" si="0"/>
        <v>0</v>
      </c>
      <c r="E52" s="77"/>
      <c r="F52" s="27">
        <f t="shared" si="1"/>
        <v>0</v>
      </c>
      <c r="G52" s="75">
        <f t="shared" ca="1" si="2"/>
        <v>0</v>
      </c>
      <c r="H52" s="84"/>
      <c r="I52" s="84"/>
      <c r="J52" s="84"/>
      <c r="K52" s="84"/>
      <c r="L52" s="84"/>
      <c r="M52" s="84"/>
      <c r="N52" s="84"/>
      <c r="O52" s="84"/>
    </row>
    <row r="53" spans="1:15" ns3:dyDescent="0.15">
      <c r="A53" s="78"/>
      <c r="B53" s="79"/>
      <c r="C53" s="80"/>
      <c r="D53" s="82">
        <f t="shared" si="0"/>
        <v>0</v>
      </c>
      <c r="E53" s="79"/>
      <c r="F53" s="27">
        <f t="shared" si="1"/>
        <v>0</v>
      </c>
      <c r="G53" s="78">
        <f t="shared" ca="1" si="2"/>
        <v>0</v>
      </c>
      <c r="H53" s="84"/>
      <c r="I53" s="84"/>
      <c r="J53" s="84"/>
      <c r="K53" s="84"/>
      <c r="L53" s="84"/>
      <c r="M53" s="84"/>
      <c r="N53" s="84"/>
      <c r="O53" s="84"/>
    </row>
    <row r="54" spans="1:15" ns3:dyDescent="0.15">
      <c r="A54" s="75"/>
      <c r="B54" s="77"/>
      <c r="C54" s="76"/>
      <c r="D54" s="83">
        <f t="shared" si="0"/>
        <v>0</v>
      </c>
      <c r="E54" s="77"/>
      <c r="F54" s="27">
        <f t="shared" si="1"/>
        <v>0</v>
      </c>
      <c r="G54" s="75">
        <f t="shared" ca="1" si="2"/>
        <v>0</v>
      </c>
      <c r="H54" s="84"/>
      <c r="I54" s="84"/>
      <c r="J54" s="84"/>
      <c r="K54" s="84"/>
      <c r="L54" s="84"/>
      <c r="M54" s="84"/>
      <c r="N54" s="84"/>
      <c r="O54" s="84"/>
    </row>
    <row r="55" spans="1:15" ns3:dyDescent="0.15">
      <c r="A55" s="78"/>
      <c r="B55" s="79"/>
      <c r="C55" s="80"/>
      <c r="D55" s="82">
        <f t="shared" si="0"/>
        <v>0</v>
      </c>
      <c r="E55" s="79"/>
      <c r="F55" s="27">
        <f t="shared" si="1"/>
        <v>0</v>
      </c>
      <c r="G55" s="78">
        <f t="shared" ca="1" si="2"/>
        <v>0</v>
      </c>
      <c r="H55" s="84"/>
      <c r="I55" s="84"/>
      <c r="J55" s="84"/>
      <c r="K55" s="84"/>
      <c r="L55" s="84"/>
      <c r="M55" s="84"/>
      <c r="N55" s="84"/>
      <c r="O55" s="84"/>
    </row>
    <row r="56" spans="1:15" ns3:dyDescent="0.15">
      <c r="A56" s="75"/>
      <c r="B56" s="77"/>
      <c r="C56" s="76"/>
      <c r="D56" s="83">
        <f t="shared" si="0"/>
        <v>0</v>
      </c>
      <c r="E56" s="77"/>
      <c r="F56" s="27">
        <f t="shared" si="1"/>
        <v>0</v>
      </c>
      <c r="G56" s="75">
        <f t="shared" ca="1" si="2"/>
        <v>0</v>
      </c>
      <c r="H56" s="84"/>
      <c r="I56" s="84"/>
      <c r="J56" s="84"/>
      <c r="K56" s="84"/>
      <c r="L56" s="84"/>
      <c r="M56" s="84"/>
      <c r="N56" s="84"/>
      <c r="O56" s="84"/>
    </row>
    <row r="57" spans="1:15" ns3:dyDescent="0.15">
      <c r="A57" s="78"/>
      <c r="B57" s="79"/>
      <c r="C57" s="80"/>
      <c r="D57" s="82">
        <f t="shared" si="0"/>
        <v>0</v>
      </c>
      <c r="E57" s="79"/>
      <c r="F57" s="27">
        <f t="shared" si="1"/>
        <v>0</v>
      </c>
      <c r="G57" s="78">
        <f t="shared" ca="1" si="2"/>
        <v>0</v>
      </c>
      <c r="H57" s="84"/>
      <c r="I57" s="84"/>
      <c r="J57" s="84"/>
      <c r="K57" s="84"/>
      <c r="L57" s="84"/>
      <c r="M57" s="84"/>
      <c r="N57" s="84"/>
      <c r="O57" s="84"/>
    </row>
    <row r="58" spans="1:15" ns3:dyDescent="0.15">
      <c r="A58" s="75"/>
      <c r="B58" s="77"/>
      <c r="C58" s="76"/>
      <c r="D58" s="83">
        <f t="shared" si="0"/>
        <v>0</v>
      </c>
      <c r="E58" s="77"/>
      <c r="F58" s="27">
        <f t="shared" si="1"/>
        <v>0</v>
      </c>
      <c r="G58" s="75">
        <f t="shared" ca="1" si="2"/>
        <v>0</v>
      </c>
      <c r="H58" s="84"/>
      <c r="I58" s="84"/>
      <c r="J58" s="84"/>
      <c r="K58" s="84"/>
      <c r="L58" s="84"/>
      <c r="M58" s="84"/>
      <c r="N58" s="84"/>
      <c r="O58" s="84"/>
    </row>
    <row r="59" spans="1:15" ns3:dyDescent="0.15">
      <c r="A59" s="78"/>
      <c r="B59" s="79"/>
      <c r="C59" s="80"/>
      <c r="D59" s="82">
        <f t="shared" si="0"/>
        <v>0</v>
      </c>
      <c r="E59" s="79"/>
      <c r="F59" s="27">
        <f t="shared" si="1"/>
        <v>0</v>
      </c>
      <c r="G59" s="78">
        <f t="shared" ca="1" si="2"/>
        <v>0</v>
      </c>
      <c r="H59" s="84"/>
      <c r="I59" s="84"/>
      <c r="J59" s="84"/>
      <c r="K59" s="84"/>
      <c r="L59" s="84"/>
      <c r="M59" s="84"/>
      <c r="N59" s="84"/>
      <c r="O59" s="84"/>
    </row>
    <row r="60" spans="1:15" ns3:dyDescent="0.15">
      <c r="A60" s="75"/>
      <c r="B60" s="77"/>
      <c r="C60" s="76"/>
      <c r="D60" s="83">
        <f t="shared" si="0"/>
        <v>0</v>
      </c>
      <c r="E60" s="77"/>
      <c r="F60" s="27">
        <f t="shared" si="1"/>
        <v>0</v>
      </c>
      <c r="G60" s="75">
        <f t="shared" ca="1" si="2"/>
        <v>0</v>
      </c>
      <c r="H60" s="84"/>
      <c r="I60" s="84"/>
      <c r="J60" s="84"/>
      <c r="K60" s="84"/>
      <c r="L60" s="84"/>
      <c r="M60" s="84"/>
      <c r="N60" s="84"/>
      <c r="O60" s="84"/>
    </row>
    <row r="61" spans="1:15" ns3:dyDescent="0.15">
      <c r="A61" s="78"/>
      <c r="B61" s="79"/>
      <c r="C61" s="80"/>
      <c r="D61" s="82">
        <f t="shared" si="0"/>
        <v>0</v>
      </c>
      <c r="E61" s="79"/>
      <c r="F61" s="27">
        <f t="shared" si="1"/>
        <v>0</v>
      </c>
      <c r="G61" s="78">
        <f t="shared" ca="1" si="2"/>
        <v>0</v>
      </c>
      <c r="H61" s="84"/>
      <c r="I61" s="84"/>
      <c r="J61" s="84"/>
      <c r="K61" s="84"/>
      <c r="L61" s="84"/>
      <c r="M61" s="84"/>
      <c r="N61" s="84"/>
      <c r="O61" s="84"/>
    </row>
    <row r="62" spans="1:15" ns3:dyDescent="0.15">
      <c r="A62" s="75"/>
      <c r="B62" s="77"/>
      <c r="C62" s="76"/>
      <c r="D62" s="83">
        <f t="shared" si="0"/>
        <v>0</v>
      </c>
      <c r="E62" s="77"/>
      <c r="F62" s="27">
        <f t="shared" si="1"/>
        <v>0</v>
      </c>
      <c r="G62" s="75">
        <f t="shared" ca="1" si="2"/>
        <v>0</v>
      </c>
      <c r="H62" s="84"/>
      <c r="I62" s="84"/>
      <c r="J62" s="84"/>
      <c r="K62" s="84"/>
      <c r="L62" s="84"/>
      <c r="M62" s="84"/>
      <c r="N62" s="84"/>
      <c r="O62" s="84"/>
    </row>
    <row r="63" spans="1:15" ns3:dyDescent="0.15">
      <c r="A63" s="78"/>
      <c r="B63" s="79"/>
      <c r="C63" s="80"/>
      <c r="D63" s="82">
        <f t="shared" si="0"/>
        <v>0</v>
      </c>
      <c r="E63" s="79"/>
      <c r="F63" s="27">
        <f t="shared" si="1"/>
        <v>0</v>
      </c>
      <c r="G63" s="78">
        <f t="shared" ca="1" si="2"/>
        <v>0</v>
      </c>
      <c r="H63" s="84"/>
      <c r="I63" s="84"/>
      <c r="J63" s="84"/>
      <c r="K63" s="84"/>
      <c r="L63" s="84"/>
      <c r="M63" s="84"/>
      <c r="N63" s="84"/>
      <c r="O63" s="84"/>
    </row>
    <row r="64" spans="1:15" ns3:dyDescent="0.15">
      <c r="A64" s="75"/>
      <c r="B64" s="77"/>
      <c r="C64" s="76"/>
      <c r="D64" s="83">
        <f t="shared" si="0"/>
        <v>0</v>
      </c>
      <c r="E64" s="77"/>
      <c r="F64" s="27">
        <f t="shared" si="1"/>
        <v>0</v>
      </c>
      <c r="G64" s="75">
        <f t="shared" ca="1" si="2"/>
        <v>0</v>
      </c>
      <c r="H64" s="84"/>
      <c r="I64" s="84"/>
      <c r="J64" s="84"/>
      <c r="K64" s="84"/>
      <c r="L64" s="84"/>
      <c r="M64" s="84"/>
      <c r="N64" s="84"/>
      <c r="O64" s="84"/>
    </row>
    <row r="65" spans="1:15" ns3:dyDescent="0.15">
      <c r="A65" s="78"/>
      <c r="B65" s="79"/>
      <c r="C65" s="80"/>
      <c r="D65" s="82">
        <f t="shared" si="0"/>
        <v>0</v>
      </c>
      <c r="E65" s="79"/>
      <c r="F65" s="27">
        <f t="shared" si="1"/>
        <v>0</v>
      </c>
      <c r="G65" s="78">
        <f t="shared" ca="1" si="2"/>
        <v>0</v>
      </c>
      <c r="H65" s="84"/>
      <c r="I65" s="84"/>
      <c r="J65" s="84"/>
      <c r="K65" s="84"/>
      <c r="L65" s="84"/>
      <c r="M65" s="84"/>
      <c r="N65" s="84"/>
      <c r="O65" s="84"/>
    </row>
  </sheetData>
  <mergeCells count="3">
    <mergeCell ref="N7:O7"/>
    <mergeCell ref="H14:L14"/>
    <mergeCell ref="C1:D1"/>
  </mergeCells>
  <conditionalFormatting sqref="F28:F65">
    <cfRule type="colorScale" priority="1">
      <colorScale>
        <cfvo type="min"/>
        <cfvo type="percentile" val="50"/>
        <cfvo type="max"/>
        <color rgb="FFE85D75"/>
        <color rgb="FFF4D77D"/>
        <color rgb="FF38D39F"/>
      </colorScale>
    </cfRule>
  </conditionalFormatting>
  <dataValidations count="1">
    <dataValidation type="list" allowBlank="1" sqref="B2:B25 B27:B65" ns2:uid="{00000000-0002-0000-0200-000000000000}">
      <formula1>"Ações,FIIs,Renda Fixa,ETFs,Cripto,Exterior,Outros"</formula1>
    </dataValidation>
  </dataValidations>
  <hyperlinks>
    <hyperlink ref="A2" ns4:id="rId1" ns2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400-000000000000}">
  <sheetPr>
    <tabColor rgb="FFA7A7B0"/>
  </sheetPr>
  <dimension ref="A1:O100"/>
  <sheetViews>
    <sheetView showGridLines="0" topLeftCell="A11" workbookViewId="0">
      <selection activeCell="H23" sqref="H23"/>
    </sheetView>
  </sheetViews>
  <sheetFormatPr defaultColWidth="8.76171875" defaultRowHeight="12.75" ns3:dyDescent="0.15"/>
  <cols>
    <col min="1" max="1" width="9.9765625" customWidth="1"/>
    <col min="2" max="2" width="10.3828125" customWidth="1"/>
    <col min="3" max="3" width="13.88671875" customWidth="1"/>
    <col min="4" max="4" width="12.5390625" customWidth="1"/>
    <col min="5" max="5" width="12.13671875" customWidth="1"/>
    <col min="6" max="6" width="11.4609375" customWidth="1"/>
    <col min="7" max="7" width="12.5390625" customWidth="1"/>
    <col min="8" max="8" width="19.95703125" customWidth="1"/>
    <col min="9" max="9" width="11.32421875" customWidth="1"/>
    <col min="10" max="10" width="12.9453125" customWidth="1"/>
    <col min="11" max="11" width="10.11328125" customWidth="1"/>
    <col min="12" max="12" width="21.57421875" customWidth="1"/>
    <col min="13" max="13" width="18.87890625" customWidth="1"/>
    <col min="14" max="14" width="13.078125" customWidth="1"/>
    <col min="15" max="16" width="12.9453125" customWidth="1"/>
    <col min="17" max="17" width="16.44921875" customWidth="1"/>
    <col min="18" max="19" width="12.9453125" customWidth="1"/>
    <col min="20" max="20" width="18.87890625" customWidth="1"/>
    <col min="21" max="21" width="10.515625" customWidth="1"/>
    <col min="22" max="22" width="20.2265625" customWidth="1"/>
    <col min="23" max="23" width="12.9453125" customWidth="1"/>
  </cols>
  <sheetData>
    <row r="1" spans="1:14" ns3:dyDescent="0.15">
      <c r="A1" s="283" t="s">
        <v>256</v>
      </c>
      <c r="B1" s="283"/>
      <c r="C1" s="283"/>
      <c r="D1" s="283"/>
      <c r="E1" s="283"/>
      <c r="F1" s="283"/>
      <c r="G1" s="283"/>
      <c r="H1" s="283"/>
      <c r="I1" s="283"/>
      <c r="J1" s="283"/>
      <c r="K1" s="84"/>
      <c r="L1" s="84"/>
      <c r="M1" s="84"/>
      <c r="N1" s="84"/>
    </row>
    <row r="2" spans="1:14" ns3:dyDescent="0.15">
      <c r="A2" s="283"/>
      <c r="B2" s="283"/>
      <c r="C2" s="283"/>
      <c r="D2" s="283"/>
      <c r="E2" s="283"/>
      <c r="F2" s="283"/>
      <c r="G2" s="283"/>
      <c r="H2" s="283"/>
      <c r="I2" s="283"/>
      <c r="J2" s="283"/>
      <c r="K2" s="84"/>
      <c r="L2" s="84"/>
      <c r="M2" s="84"/>
      <c r="N2" s="84"/>
    </row>
    <row r="3" spans="1:14" ht="7.5" customHeight="1" ns3:dyDescent="0.15">
      <c r="A3" s="283"/>
      <c r="B3" s="283"/>
      <c r="C3" s="283"/>
      <c r="D3" s="283"/>
      <c r="E3" s="283"/>
      <c r="F3" s="283"/>
      <c r="G3" s="283"/>
      <c r="H3" s="283"/>
      <c r="I3" s="283"/>
      <c r="J3" s="283"/>
      <c r="K3" s="84"/>
      <c r="L3" s="84"/>
      <c r="M3" s="84"/>
      <c r="N3" s="84"/>
    </row>
    <row r="4" spans="1:14" ht="13.5" ns3:dyDescent="0.15">
      <c r="A4" s="84"/>
      <c r="B4" s="127" t="s">
        <v>257</v>
      </c>
      <c r="C4" s="127"/>
      <c r="D4" s="127"/>
      <c r="E4" s="127"/>
      <c r="F4" s="127"/>
      <c r="G4" s="127"/>
      <c r="H4" s="127"/>
      <c r="I4" s="127"/>
      <c r="J4" s="127"/>
      <c r="K4" s="84"/>
      <c r="L4" s="84"/>
      <c r="M4" s="84"/>
      <c r="N4" s="84"/>
    </row>
    <row r="5" spans="1:14" ns3:dyDescent="0.1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</row>
    <row r="6" spans="1:14" ns3:dyDescent="0.15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</row>
    <row r="7" spans="1:14" ns3:dyDescent="0.1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</row>
    <row r="8" spans="1:14" ns3:dyDescent="0.1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</row>
    <row r="9" spans="1:14" ht="12.75" customHeight="1" ns3:dyDescent="0.15">
      <c r="A9" s="84"/>
      <c r="B9" s="84"/>
      <c r="C9" s="128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</row>
    <row r="10" spans="1:14" ht="12.75" customHeight="1" ns3:dyDescent="0.15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</row>
    <row r="11" spans="1:14" ht="12.75" customHeight="1" ns3:dyDescent="0.15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</row>
    <row r="12" spans="1:14" ht="6" customHeight="1" ns3:dyDescent="0.15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</row>
    <row r="13" spans="1:14" ht="12.75" customHeight="1" ns3:dyDescent="0.15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</row>
    <row r="14" spans="1:14" ns3:dyDescent="0.15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</row>
    <row r="15" spans="1:14" ns3:dyDescent="0.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</row>
    <row r="16" spans="1:14" ht="12.75" customHeight="1" thickBot="1" ns3:dyDescent="0.2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</row>
    <row r="17" spans="1:14" ht="23.25" customHeight="1" ns3:dyDescent="0.2">
      <c r="A17" s="129"/>
      <c r="B17" s="285" t="s">
        <v>191</v>
      </c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7"/>
    </row>
    <row r="18" spans="1:14" ht="12.75" customHeight="1" ns3:dyDescent="0.15">
      <c r="A18" s="84"/>
      <c r="B18" s="156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157"/>
    </row>
    <row r="19" spans="1:14" ht="12.75" customHeight="1" ns3:dyDescent="0.15">
      <c r="A19" s="84"/>
      <c r="B19" s="297" t="s">
        <v>258</v>
      </c>
      <c r="C19" s="260"/>
      <c r="D19" s="260"/>
      <c r="E19" s="260"/>
      <c r="F19" s="260"/>
      <c r="G19" s="260"/>
      <c r="H19" s="158" t="s">
        <v>192</v>
      </c>
      <c r="I19" s="260" t="s">
        <v>193</v>
      </c>
      <c r="J19" s="260"/>
      <c r="K19" s="284"/>
      <c r="L19" s="84"/>
      <c r="M19" s="84"/>
      <c r="N19" s="157"/>
    </row>
    <row r="20" spans="1:14" ht="12.75" customHeight="1" ns3:dyDescent="0.15">
      <c r="A20" s="84"/>
      <c r="B20" s="159" t="s">
        <v>194</v>
      </c>
      <c r="C20" s="113"/>
      <c r="D20" s="113"/>
      <c r="E20" s="113"/>
      <c r="F20" s="113"/>
      <c r="G20" s="113"/>
      <c r="H20" s="26">
        <v>22</v>
      </c>
      <c r="I20" s="160" t="s">
        <v>195</v>
      </c>
      <c r="J20" s="160"/>
      <c r="K20" s="160"/>
      <c r="L20" s="160"/>
      <c r="M20" s="84"/>
      <c r="N20" s="157"/>
    </row>
    <row r="21" spans="1:14" ht="12.75" customHeight="1" ns3:dyDescent="0.15">
      <c r="A21" s="84"/>
      <c r="B21" s="159" t="s">
        <v>196</v>
      </c>
      <c r="C21" s="113"/>
      <c r="D21" s="113"/>
      <c r="E21" s="113"/>
      <c r="F21" s="113"/>
      <c r="G21" s="113"/>
      <c r="H21" s="26">
        <v>24</v>
      </c>
      <c r="I21" s="160" t="s">
        <v>197</v>
      </c>
      <c r="J21" s="160"/>
      <c r="K21" s="160"/>
      <c r="L21" s="160"/>
      <c r="M21" s="84"/>
      <c r="N21" s="157"/>
    </row>
    <row r="22" spans="1:14" ht="12.75" customHeight="1" ns3:dyDescent="0.15">
      <c r="A22" s="84"/>
      <c r="B22" s="159" t="s">
        <v>198</v>
      </c>
      <c r="C22" s="113"/>
      <c r="D22" s="113"/>
      <c r="E22" s="113"/>
      <c r="F22" s="113"/>
      <c r="G22" s="113"/>
      <c r="H22" s="161">
        <v>32000</v>
      </c>
      <c r="I22" s="160" t="s">
        <v>199</v>
      </c>
      <c r="J22" s="160"/>
      <c r="K22" s="160"/>
      <c r="L22" s="160"/>
      <c r="M22" s="84"/>
      <c r="N22" s="157"/>
    </row>
    <row r="23" spans="1:14" ht="12.75" customHeight="1" ns3:dyDescent="0.15">
      <c r="A23" s="84"/>
      <c r="B23" s="159" t="s">
        <v>200</v>
      </c>
      <c r="C23" s="113"/>
      <c r="D23" s="113"/>
      <c r="E23" s="113"/>
      <c r="F23" s="113"/>
      <c r="G23" s="113"/>
      <c r="H23" s="170">
        <f>PMT(((H24+1)^(1/12))-1,(H21-H20)*12,H22,-H30,0)</f>
        <v>2326.9301213486715</v>
      </c>
      <c r="I23" s="160" t="s">
        <v>199</v>
      </c>
      <c r="J23" s="160"/>
      <c r="K23" s="160"/>
      <c r="L23" s="160"/>
      <c r="M23" s="84"/>
      <c r="N23" s="157"/>
    </row>
    <row r="24" spans="1:14" ht="12.75" customHeight="1" ns3:dyDescent="0.15">
      <c r="A24" s="84"/>
      <c r="B24" s="159" t="s">
        <v>201</v>
      </c>
      <c r="C24" s="113"/>
      <c r="D24" s="113"/>
      <c r="E24" s="113"/>
      <c r="F24" s="113"/>
      <c r="G24" s="113"/>
      <c r="H24" s="162">
        <v>0.1</v>
      </c>
      <c r="I24" s="160" t="s">
        <v>202</v>
      </c>
      <c r="J24" s="160"/>
      <c r="K24" s="160"/>
      <c r="L24" s="160"/>
      <c r="M24" s="84"/>
      <c r="N24" s="157"/>
    </row>
    <row r="25" spans="1:14" ht="12.75" customHeight="1" ns3:dyDescent="0.15">
      <c r="A25" s="84"/>
      <c r="B25" s="159"/>
      <c r="C25" s="113"/>
      <c r="D25" s="113"/>
      <c r="E25" s="113"/>
      <c r="F25" s="113"/>
      <c r="G25" s="113"/>
      <c r="H25" s="81"/>
      <c r="I25" s="160"/>
      <c r="J25" s="160"/>
      <c r="K25" s="160"/>
      <c r="L25" s="160"/>
      <c r="M25" s="84"/>
      <c r="N25" s="157"/>
    </row>
    <row r="26" spans="1:14" ht="12.75" customHeight="1" ns3:dyDescent="0.15">
      <c r="A26" s="84"/>
      <c r="B26" s="156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157"/>
    </row>
    <row r="27" spans="1:14" ht="12.75" customHeight="1" ns3:dyDescent="0.15">
      <c r="A27" s="84"/>
      <c r="B27" s="156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157"/>
    </row>
    <row r="28" spans="1:14" ht="12.75" customHeight="1" ns3:dyDescent="0.15">
      <c r="A28" s="86"/>
      <c r="B28" s="163"/>
      <c r="C28" s="86"/>
      <c r="D28" s="86"/>
      <c r="E28" s="86"/>
      <c r="F28" s="86"/>
      <c r="G28" s="86"/>
      <c r="H28" s="86"/>
      <c r="I28" s="86"/>
      <c r="J28" s="294" t="s">
        <v>203</v>
      </c>
      <c r="K28" s="295"/>
      <c r="L28" s="295"/>
      <c r="M28" s="295"/>
      <c r="N28" s="296"/>
    </row>
    <row r="29" spans="1:14" ht="12.75" customHeight="1" thickBot="1" ns3:dyDescent="0.2">
      <c r="A29" s="86"/>
      <c r="B29" s="163"/>
      <c r="C29" s="86"/>
      <c r="D29" s="86"/>
      <c r="E29" s="86"/>
      <c r="F29" s="86"/>
      <c r="G29" s="86"/>
      <c r="H29" s="130" t="s">
        <v>204</v>
      </c>
      <c r="I29" s="86"/>
      <c r="J29" s="288" t="s">
        <v>205</v>
      </c>
      <c r="K29" s="289"/>
      <c r="L29" s="289"/>
      <c r="M29" s="289"/>
      <c r="N29" s="157"/>
    </row>
    <row r="30" spans="1:14" ht="12.75" customHeight="1" thickBot="1" ns3:dyDescent="0.2">
      <c r="A30" s="113"/>
      <c r="B30" s="164" t="s">
        <v>206</v>
      </c>
      <c r="C30" s="165"/>
      <c r="D30" s="165"/>
      <c r="E30" s="165"/>
      <c r="F30" s="165"/>
      <c r="G30" s="165"/>
      <c r="H30" s="131">
        <v>100000</v>
      </c>
      <c r="I30" s="165"/>
      <c r="J30" s="290"/>
      <c r="K30" s="291"/>
      <c r="L30" s="291"/>
      <c r="M30" s="291"/>
      <c r="N30" s="157"/>
    </row>
    <row r="31" spans="1:14" ht="12.75" customHeight="1" ns3:dyDescent="0.15">
      <c r="A31" s="113"/>
      <c r="B31" s="300" t="s">
        <v>207</v>
      </c>
      <c r="C31" s="301"/>
      <c r="D31" s="301"/>
      <c r="E31" s="301"/>
      <c r="F31" s="165"/>
      <c r="G31" s="165"/>
      <c r="H31" s="165"/>
      <c r="I31" s="165"/>
      <c r="J31" s="113"/>
      <c r="K31" s="113"/>
      <c r="L31" s="113"/>
      <c r="M31" s="113"/>
      <c r="N31" s="113"/>
    </row>
    <row r="32" spans="1:14" ht="12.75" customHeight="1" thickBot="1" ns3:dyDescent="0.2">
      <c r="A32" s="84"/>
      <c r="B32" s="166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8"/>
    </row>
    <row r="33" spans="1:14" ht="13.5" customHeight="1" thickBot="1" ns3:dyDescent="0.2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</row>
    <row r="34" spans="1:14" ht="12.75" customHeight="1" ns3:dyDescent="0.15">
      <c r="A34" s="84"/>
      <c r="B34" s="84"/>
      <c r="C34" s="84"/>
      <c r="D34" s="84"/>
      <c r="E34" s="84"/>
      <c r="F34" s="86"/>
      <c r="G34" s="132" t="s">
        <v>208</v>
      </c>
      <c r="H34" s="133" t="s">
        <v>209</v>
      </c>
      <c r="I34" s="84"/>
      <c r="J34" s="84"/>
      <c r="K34" s="84"/>
      <c r="L34" s="84"/>
      <c r="M34" s="84"/>
      <c r="N34" s="84"/>
    </row>
    <row r="35" spans="1:14" ht="12.75" customHeight="1" ns3:dyDescent="0.15">
      <c r="A35" s="84"/>
      <c r="B35" s="84"/>
      <c r="C35" s="84"/>
      <c r="D35" s="84"/>
      <c r="E35" s="84"/>
      <c r="F35" s="113"/>
      <c r="G35" s="262">
        <v>1000</v>
      </c>
      <c r="H35" s="275">
        <v>0.01</v>
      </c>
      <c r="I35" s="84"/>
      <c r="J35" s="84"/>
      <c r="K35" s="84"/>
      <c r="L35" s="84"/>
      <c r="M35" s="84"/>
      <c r="N35" s="84"/>
    </row>
    <row r="36" spans="1:14" ht="12.75" customHeight="1" thickBot="1" ns3:dyDescent="0.2">
      <c r="A36" s="84"/>
      <c r="B36" s="84"/>
      <c r="C36" s="84"/>
      <c r="D36" s="84"/>
      <c r="E36" s="84"/>
      <c r="F36" s="113"/>
      <c r="G36" s="263"/>
      <c r="H36" s="276"/>
      <c r="I36" s="84"/>
      <c r="J36" s="84"/>
      <c r="K36" s="84"/>
      <c r="L36" s="84"/>
      <c r="M36" s="84"/>
      <c r="N36" s="84"/>
    </row>
    <row r="37" spans="1:14" ht="12.75" customHeight="1" thickBot="1" ns3:dyDescent="0.2">
      <c r="A37" s="84"/>
      <c r="B37" s="84"/>
      <c r="C37" s="84"/>
      <c r="D37" s="84"/>
      <c r="E37" s="84"/>
      <c r="F37" s="86"/>
      <c r="G37" s="279" t="s">
        <v>210</v>
      </c>
      <c r="H37" s="280"/>
      <c r="I37" s="84"/>
      <c r="J37" s="84"/>
      <c r="K37" s="84"/>
      <c r="L37" s="84"/>
      <c r="M37" s="84"/>
      <c r="N37" s="84"/>
    </row>
    <row r="38" spans="1:14" ht="12.75" customHeight="1" thickBot="1" ns3:dyDescent="0.2">
      <c r="A38" s="84"/>
      <c r="B38" s="84"/>
      <c r="C38" s="84"/>
      <c r="D38" s="84"/>
      <c r="E38" s="84"/>
      <c r="F38" s="113"/>
      <c r="G38" s="298">
        <f>G35/H35</f>
        <v>100000</v>
      </c>
      <c r="H38" s="299"/>
      <c r="I38" s="84"/>
      <c r="J38" s="84"/>
      <c r="K38" s="84"/>
      <c r="L38" s="84"/>
      <c r="M38" s="84"/>
      <c r="N38" s="84"/>
    </row>
    <row r="39" spans="1:14" ht="12.75" customHeight="1" ns3:dyDescent="0.15">
      <c r="A39" s="84"/>
      <c r="B39" s="134"/>
      <c r="C39" s="134"/>
      <c r="D39" s="134"/>
      <c r="E39" s="134"/>
      <c r="F39" s="134"/>
      <c r="G39" s="134"/>
      <c r="H39" s="134"/>
      <c r="I39" s="84"/>
      <c r="J39" s="84"/>
      <c r="K39" s="84"/>
      <c r="L39" s="84"/>
      <c r="M39" s="84"/>
      <c r="N39" s="84"/>
    </row>
    <row r="40" spans="1:14" ht="12.75" customHeight="1" ns3:dyDescent="0.15">
      <c r="A40" s="84"/>
      <c r="B40" s="84"/>
      <c r="C40" s="84"/>
      <c r="D40" s="84"/>
      <c r="E40" s="84"/>
      <c r="F40" s="84"/>
      <c r="G40" s="84"/>
      <c r="H40" s="169"/>
      <c r="I40" s="84"/>
      <c r="J40" s="84"/>
      <c r="K40" s="84"/>
      <c r="L40" s="84"/>
      <c r="M40" s="84"/>
      <c r="N40" s="84"/>
    </row>
    <row r="41" spans="1:14" ht="12.75" customHeight="1" thickBot="1" ns3:dyDescent="0.2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</row>
    <row r="42" spans="1:14" ht="12.75" customHeight="1" thickBot="1" ns3:dyDescent="0.2">
      <c r="A42" s="84"/>
      <c r="B42" s="84"/>
      <c r="C42" s="84"/>
      <c r="D42" s="86"/>
      <c r="E42" s="268" t="s">
        <v>211</v>
      </c>
      <c r="F42" s="269"/>
      <c r="G42" s="269"/>
      <c r="H42" s="135">
        <f>G38</f>
        <v>100000</v>
      </c>
      <c r="I42" s="136"/>
      <c r="J42" s="137"/>
      <c r="K42" s="48"/>
      <c r="L42" s="84"/>
      <c r="M42" s="84"/>
      <c r="N42" s="84"/>
    </row>
    <row r="43" spans="1:14" ht="12.75" customHeight="1" ns3:dyDescent="0.15">
      <c r="A43" s="84"/>
      <c r="B43" s="84"/>
      <c r="C43" s="84"/>
      <c r="D43" s="138"/>
      <c r="E43" s="139" t="s">
        <v>212</v>
      </c>
      <c r="F43" s="266" t="s">
        <v>213</v>
      </c>
      <c r="G43" s="267"/>
      <c r="H43" s="140" t="s">
        <v>214</v>
      </c>
      <c r="I43" s="139" t="s">
        <v>215</v>
      </c>
      <c r="J43" s="270" t="s">
        <v>216</v>
      </c>
      <c r="K43" s="271"/>
      <c r="L43" s="84"/>
      <c r="M43" s="84"/>
      <c r="N43" s="84"/>
    </row>
    <row r="44" spans="1:14" ht="12.75" customHeight="1" ns3:dyDescent="0.15">
      <c r="A44" s="84"/>
      <c r="B44" s="84"/>
      <c r="C44" s="84"/>
      <c r="D44" s="113"/>
      <c r="E44" s="141">
        <v>1</v>
      </c>
      <c r="F44" s="142">
        <v>0.01</v>
      </c>
      <c r="G44" s="143"/>
      <c r="H44" s="144">
        <f>FVSCHEDULE(H42,F44)</f>
        <v>101000</v>
      </c>
      <c r="I44" s="145">
        <v>2E-3</v>
      </c>
      <c r="J44" s="292">
        <f>H44/(1+I44)</f>
        <v>100808.38119760479</v>
      </c>
      <c r="K44" s="293"/>
      <c r="L44" s="84"/>
      <c r="M44" s="84"/>
      <c r="N44" s="84"/>
    </row>
    <row r="45" spans="1:14" ht="12.75" customHeight="1" ns3:dyDescent="0.15">
      <c r="A45" s="84"/>
      <c r="B45" s="84"/>
      <c r="C45" s="84"/>
      <c r="D45" s="113"/>
      <c r="E45" s="146">
        <v>2</v>
      </c>
      <c r="F45" s="147">
        <v>0.01</v>
      </c>
      <c r="G45" s="148"/>
      <c r="H45" s="149">
        <f>FVSCHEDULE(H44,F45)</f>
        <v>101202</v>
      </c>
      <c r="I45" s="150">
        <v>2E-3</v>
      </c>
      <c r="J45" s="264">
        <f>H45/(1+I45)</f>
        <v>100999.99800399202</v>
      </c>
      <c r="K45" s="265"/>
      <c r="L45" s="84"/>
      <c r="M45" s="84"/>
      <c r="N45" s="84"/>
    </row>
    <row r="46" spans="1:14" ht="12.75" customHeight="1" ns3:dyDescent="0.15">
      <c r="A46" s="84"/>
      <c r="B46" s="84"/>
      <c r="C46" s="84"/>
      <c r="D46" s="113"/>
      <c r="E46" s="151">
        <v>3</v>
      </c>
      <c r="F46" s="142">
        <v>0.01</v>
      </c>
      <c r="G46" s="143"/>
      <c r="H46" s="144">
        <f>FVSCHEDULE(H45,F46)</f>
        <v>101202</v>
      </c>
      <c r="I46" s="145">
        <v>2E-3</v>
      </c>
      <c r="J46" s="264">
        <f>H46/(1+I46)</f>
        <v>100999.99800399202</v>
      </c>
      <c r="K46" s="265"/>
      <c r="L46" s="84"/>
      <c r="M46" s="84"/>
      <c r="N46" s="84"/>
    </row>
    <row r="47" spans="1:14" s="9" customFormat="1" ht="12.75" customHeight="1" ns3:dyDescent="0.15">
      <c r="A47" s="84"/>
      <c r="B47" s="84"/>
      <c r="C47" s="84"/>
      <c r="D47" s="113"/>
      <c r="E47" s="146">
        <v>4</v>
      </c>
      <c r="F47" s="147">
        <v>0.01</v>
      </c>
      <c r="G47" s="148"/>
      <c r="H47" s="149">
        <f>FVSCHEDULE(H46,F47)</f>
        <v>101202</v>
      </c>
      <c r="I47" s="150">
        <v>2E-3</v>
      </c>
      <c r="J47" s="264">
        <f>H47/(1+I47)</f>
        <v>100999.99800399202</v>
      </c>
      <c r="K47" s="265"/>
      <c r="L47" s="84"/>
      <c r="M47" s="84"/>
      <c r="N47" s="84"/>
    </row>
    <row r="48" spans="1:14" ht="12.75" customHeight="1" ns3:dyDescent="0.15">
      <c r="A48" s="84"/>
      <c r="B48" s="84"/>
      <c r="C48" s="84"/>
      <c r="D48" s="113"/>
      <c r="E48" s="151">
        <v>5</v>
      </c>
      <c r="F48" s="142">
        <v>0.01</v>
      </c>
      <c r="G48" s="143"/>
      <c r="H48" s="152">
        <f>FVSCHEDULE(H47,F48)</f>
        <v>101202</v>
      </c>
      <c r="I48" s="145">
        <v>2E-3</v>
      </c>
      <c r="J48" s="281">
        <f>H48/(1+I48)</f>
        <v>100999.99800399202</v>
      </c>
      <c r="K48" s="282"/>
      <c r="L48" s="84"/>
      <c r="M48" s="84"/>
      <c r="N48" s="84"/>
    </row>
    <row r="49" spans="1:14" ht="15" customHeight="1" ns3:dyDescent="0.15">
      <c r="A49" s="86"/>
      <c r="B49" s="86"/>
      <c r="C49" s="86"/>
      <c r="D49" s="86"/>
      <c r="E49" s="272" t="s">
        <v>217</v>
      </c>
      <c r="F49" s="273"/>
      <c r="G49" s="273"/>
      <c r="H49" s="273"/>
      <c r="I49" s="273"/>
      <c r="J49" s="273"/>
      <c r="K49" s="274"/>
      <c r="L49" s="84"/>
      <c r="M49" s="84"/>
      <c r="N49" s="84"/>
    </row>
    <row r="50" spans="1:14" ht="12.75" customHeight="1" ns3:dyDescent="0.15">
      <c r="A50" s="86"/>
      <c r="B50" s="86"/>
      <c r="C50" s="86"/>
      <c r="D50" s="86"/>
      <c r="E50" s="277">
        <f>G38*(1+0.2%)</f>
        <v>100200</v>
      </c>
      <c r="F50" s="278"/>
      <c r="G50" s="278"/>
      <c r="H50" s="278"/>
      <c r="I50" s="278"/>
      <c r="J50" s="278"/>
      <c r="K50" s="265"/>
      <c r="L50" s="84"/>
      <c r="M50" s="84"/>
      <c r="N50" s="84"/>
    </row>
    <row r="51" spans="1:14" ns3:dyDescent="0.15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</row>
    <row r="52" spans="1:14" ns3:dyDescent="0.1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</row>
    <row r="53" spans="1:14" ht="12.75" customHeight="1" ns3:dyDescent="0.15">
      <c r="A53" s="153"/>
      <c r="B53" s="153"/>
      <c r="C53" s="153"/>
      <c r="D53" s="153"/>
      <c r="E53" s="153" t="s">
        <v>218</v>
      </c>
      <c r="F53" s="153"/>
      <c r="G53" s="153"/>
      <c r="H53" s="153"/>
      <c r="I53" s="153"/>
      <c r="J53" s="84"/>
      <c r="K53" s="84"/>
      <c r="L53" s="84"/>
      <c r="M53" s="84"/>
      <c r="N53" s="84"/>
    </row>
    <row r="54" spans="1:14" ht="12.75" customHeight="1" ns3:dyDescent="0.15">
      <c r="A54" s="153"/>
      <c r="B54" s="153"/>
      <c r="C54" s="153"/>
      <c r="D54" s="153"/>
      <c r="E54" s="153" t="s">
        <v>219</v>
      </c>
      <c r="F54" s="153"/>
      <c r="G54" s="153"/>
      <c r="H54" s="153"/>
      <c r="I54" s="153"/>
      <c r="J54" s="84"/>
      <c r="K54" s="84"/>
      <c r="L54" s="84"/>
      <c r="M54" s="84"/>
      <c r="N54" s="84"/>
    </row>
    <row r="55" spans="1:14" ht="12.75" customHeight="1" ns3:dyDescent="0.15">
      <c r="A55" s="153"/>
      <c r="B55" s="153"/>
      <c r="C55" s="153"/>
      <c r="D55" s="153"/>
      <c r="E55" s="153" t="s">
        <v>220</v>
      </c>
      <c r="F55" s="153"/>
      <c r="G55" s="153"/>
      <c r="H55" s="153"/>
      <c r="I55" s="153"/>
      <c r="J55" s="84"/>
      <c r="K55" s="84"/>
      <c r="L55" s="84"/>
      <c r="M55" s="84"/>
      <c r="N55" s="84"/>
    </row>
    <row r="56" spans="1:14" ht="12.75" customHeight="1" ns3:dyDescent="0.15">
      <c r="A56" s="153"/>
      <c r="B56" s="153"/>
      <c r="C56" s="153"/>
      <c r="D56" s="153"/>
      <c r="E56" s="153" t="s">
        <v>221</v>
      </c>
      <c r="F56" s="153"/>
      <c r="G56" s="153"/>
      <c r="H56" s="153"/>
      <c r="I56" s="153"/>
      <c r="J56" s="84"/>
      <c r="K56" s="84"/>
      <c r="L56" s="84"/>
      <c r="M56" s="84"/>
      <c r="N56" s="84"/>
    </row>
    <row r="57" spans="1:14" ht="12.75" customHeight="1" ns3:dyDescent="0.15">
      <c r="A57" s="153"/>
      <c r="B57" s="153"/>
      <c r="C57" s="153"/>
      <c r="D57" s="153"/>
      <c r="E57" s="153" t="s">
        <v>222</v>
      </c>
      <c r="F57" s="153"/>
      <c r="G57" s="153"/>
      <c r="H57" s="153"/>
      <c r="I57" s="153"/>
      <c r="J57" s="84"/>
      <c r="K57" s="84"/>
      <c r="L57" s="84"/>
      <c r="M57" s="84"/>
      <c r="N57" s="84"/>
    </row>
    <row r="58" spans="1:14" ns3:dyDescent="0.15">
      <c r="A58" s="153"/>
      <c r="B58" s="153"/>
      <c r="C58" s="153"/>
      <c r="D58" s="153"/>
      <c r="E58" s="153"/>
      <c r="F58" s="153"/>
      <c r="G58" s="153"/>
      <c r="H58" s="153"/>
      <c r="I58" s="153"/>
      <c r="J58" s="84"/>
      <c r="K58" s="84"/>
      <c r="L58" s="84"/>
      <c r="M58" s="84"/>
      <c r="N58" s="84"/>
    </row>
    <row r="59" spans="1:14" ht="12.75" customHeight="1" ns3:dyDescent="0.15">
      <c r="A59" s="153"/>
      <c r="B59" s="153"/>
      <c r="C59" s="153"/>
      <c r="D59" s="153"/>
      <c r="E59" s="153" t="s">
        <v>223</v>
      </c>
      <c r="F59" s="153"/>
      <c r="G59" s="153"/>
      <c r="H59" s="153"/>
      <c r="I59" s="153"/>
      <c r="J59" s="84"/>
      <c r="K59" s="84"/>
      <c r="L59" s="84"/>
      <c r="M59" s="84"/>
      <c r="N59" s="84"/>
    </row>
    <row r="60" spans="1:14" ns3:dyDescent="0.15">
      <c r="A60" s="153"/>
      <c r="B60" s="153"/>
      <c r="C60" s="153"/>
      <c r="D60" s="153"/>
      <c r="E60" s="153"/>
      <c r="F60" s="153"/>
      <c r="G60" s="153"/>
      <c r="H60" s="153"/>
      <c r="I60" s="153"/>
      <c r="J60" s="84"/>
      <c r="K60" s="84"/>
      <c r="L60" s="84"/>
      <c r="M60" s="84"/>
      <c r="N60" s="84"/>
    </row>
    <row r="61" spans="1:14" ht="12.75" customHeight="1" ns3:dyDescent="0.15">
      <c r="A61" s="153"/>
      <c r="B61" s="153"/>
      <c r="C61" s="153"/>
      <c r="D61" s="153"/>
      <c r="E61" s="153" t="s">
        <v>224</v>
      </c>
      <c r="F61" s="153"/>
      <c r="G61" s="153"/>
      <c r="H61" s="153"/>
      <c r="I61" s="153"/>
      <c r="J61" s="84"/>
      <c r="K61" s="84"/>
      <c r="L61" s="84"/>
      <c r="M61" s="84"/>
      <c r="N61" s="84"/>
    </row>
    <row r="62" spans="1:14" ht="12.75" customHeight="1" ns3:dyDescent="0.15">
      <c r="A62" s="153"/>
      <c r="B62" s="153"/>
      <c r="C62" s="153"/>
      <c r="D62" s="153"/>
      <c r="E62" s="153" t="s">
        <v>225</v>
      </c>
      <c r="F62" s="153"/>
      <c r="G62" s="153"/>
      <c r="H62" s="153"/>
      <c r="I62" s="153"/>
      <c r="J62" s="84"/>
      <c r="K62" s="84"/>
      <c r="L62" s="84"/>
      <c r="M62" s="84"/>
      <c r="N62" s="84"/>
    </row>
    <row r="63" spans="1:14" ht="12.75" customHeight="1" ns3:dyDescent="0.15">
      <c r="A63" s="153"/>
      <c r="B63" s="153"/>
      <c r="C63" s="153"/>
      <c r="D63" s="153"/>
      <c r="E63" s="153" t="s">
        <v>226</v>
      </c>
      <c r="F63" s="153"/>
      <c r="G63" s="153"/>
      <c r="H63" s="153"/>
      <c r="I63" s="153"/>
      <c r="J63" s="84"/>
      <c r="K63" s="84"/>
      <c r="L63" s="84"/>
      <c r="M63" s="84"/>
      <c r="N63" s="84"/>
    </row>
    <row r="64" spans="1:14" ht="12.75" customHeight="1" ns3:dyDescent="0.15">
      <c r="A64" s="153"/>
      <c r="B64" s="153"/>
      <c r="C64" s="153"/>
      <c r="D64" s="153"/>
      <c r="E64" s="154" t="s">
        <v>227</v>
      </c>
      <c r="F64" s="154"/>
      <c r="G64" s="154"/>
      <c r="H64" s="153"/>
      <c r="I64" s="153"/>
      <c r="J64" s="84"/>
      <c r="K64" s="84"/>
      <c r="L64" s="84"/>
      <c r="M64" s="84"/>
      <c r="N64" s="84"/>
    </row>
    <row r="65" spans="1:14" ht="12.75" customHeight="1" ns3:dyDescent="0.15">
      <c r="A65" s="153"/>
      <c r="B65" s="153"/>
      <c r="C65" s="153"/>
      <c r="D65" s="153"/>
      <c r="E65" s="153" t="s">
        <v>228</v>
      </c>
      <c r="F65" s="153"/>
      <c r="G65" s="153"/>
      <c r="H65" s="153"/>
      <c r="I65" s="153"/>
      <c r="J65" s="84"/>
      <c r="K65" s="84"/>
      <c r="L65" s="84"/>
      <c r="M65" s="84"/>
      <c r="N65" s="84"/>
    </row>
    <row r="66" spans="1:14" ht="12.75" customHeight="1" ns3:dyDescent="0.15">
      <c r="A66" s="153"/>
      <c r="B66" s="153"/>
      <c r="C66" s="153"/>
      <c r="D66" s="153"/>
      <c r="E66" s="153" t="s">
        <v>229</v>
      </c>
      <c r="F66" s="153"/>
      <c r="G66" s="153"/>
      <c r="H66" s="153"/>
      <c r="I66" s="153"/>
      <c r="J66" s="84"/>
      <c r="K66" s="84"/>
      <c r="L66" s="84"/>
      <c r="M66" s="84"/>
      <c r="N66" s="84"/>
    </row>
    <row r="67" spans="1:14" ht="18.75" customHeight="1" ns3:dyDescent="0.15">
      <c r="A67" s="153"/>
      <c r="B67" s="153"/>
      <c r="C67" s="153"/>
      <c r="D67" s="153"/>
      <c r="E67" s="155" t="s">
        <v>230</v>
      </c>
      <c r="F67" s="155"/>
      <c r="G67" s="155"/>
      <c r="H67" s="155"/>
      <c r="I67" s="155"/>
      <c r="J67" s="84"/>
      <c r="K67" s="84"/>
      <c r="L67" s="84"/>
      <c r="M67" s="84"/>
      <c r="N67" s="84"/>
    </row>
    <row r="68" spans="1:14" ht="12.75" customHeight="1" ns3:dyDescent="0.15">
      <c r="A68" s="153"/>
      <c r="B68" s="153"/>
      <c r="C68" s="153"/>
      <c r="D68" s="153"/>
      <c r="E68" s="153" t="s">
        <v>231</v>
      </c>
      <c r="F68" s="153"/>
      <c r="G68" s="153"/>
      <c r="H68" s="153"/>
      <c r="I68" s="153"/>
      <c r="J68" s="84"/>
      <c r="K68" s="84"/>
      <c r="L68" s="84"/>
      <c r="M68" s="84"/>
      <c r="N68" s="84"/>
    </row>
    <row r="69" spans="1:14" ht="12.75" customHeight="1" ns3:dyDescent="0.15">
      <c r="A69" s="153"/>
      <c r="B69" s="153"/>
      <c r="C69" s="153"/>
      <c r="D69" s="153"/>
      <c r="E69" s="153" t="s">
        <v>232</v>
      </c>
      <c r="F69" s="153"/>
      <c r="G69" s="153"/>
      <c r="H69" s="153"/>
      <c r="I69" s="153"/>
      <c r="J69" s="84"/>
      <c r="K69" s="84"/>
      <c r="L69" s="84"/>
      <c r="M69" s="84"/>
      <c r="N69" s="84"/>
    </row>
    <row r="70" spans="1:14" ht="12.75" customHeight="1" ns3:dyDescent="0.15">
      <c r="A70" s="153"/>
      <c r="B70" s="153"/>
      <c r="C70" s="153"/>
      <c r="D70" s="153"/>
      <c r="E70" s="153" t="s">
        <v>233</v>
      </c>
      <c r="F70" s="153"/>
      <c r="G70" s="153"/>
      <c r="H70" s="153"/>
      <c r="I70" s="153"/>
      <c r="J70" s="84"/>
      <c r="K70" s="84"/>
      <c r="L70" s="84"/>
      <c r="M70" s="84"/>
      <c r="N70" s="84"/>
    </row>
    <row r="71" spans="1:14" ht="12.75" customHeight="1" ns3:dyDescent="0.15">
      <c r="A71" s="153"/>
      <c r="B71" s="153"/>
      <c r="C71" s="153"/>
      <c r="D71" s="153"/>
      <c r="E71" s="153" t="s">
        <v>234</v>
      </c>
      <c r="F71" s="153"/>
      <c r="G71" s="153"/>
      <c r="H71" s="153"/>
      <c r="I71" s="153"/>
      <c r="J71" s="84"/>
      <c r="K71" s="84"/>
      <c r="L71" s="84"/>
      <c r="M71" s="84"/>
      <c r="N71" s="84"/>
    </row>
    <row r="72" spans="1:14" s="9" customFormat="1" ht="18.75" customHeight="1" ns3:dyDescent="0.15">
      <c r="A72" s="153"/>
      <c r="B72" s="153"/>
      <c r="C72" s="153"/>
      <c r="D72" s="153"/>
      <c r="E72" s="155" t="s">
        <v>235</v>
      </c>
      <c r="F72" s="153"/>
      <c r="G72" s="153"/>
      <c r="H72" s="153"/>
      <c r="I72" s="153"/>
      <c r="J72" s="84"/>
      <c r="K72" s="84"/>
      <c r="L72" s="84"/>
      <c r="M72" s="84"/>
      <c r="N72" s="84"/>
    </row>
    <row r="73" spans="1:14" ht="12.75" customHeight="1" ns3:dyDescent="0.15">
      <c r="A73" s="153"/>
      <c r="B73" s="153"/>
      <c r="C73" s="153"/>
      <c r="D73" s="153"/>
      <c r="E73" s="153" t="s">
        <v>236</v>
      </c>
      <c r="F73" s="153"/>
      <c r="G73" s="153"/>
      <c r="H73" s="153"/>
      <c r="I73" s="153"/>
      <c r="J73" s="84"/>
      <c r="K73" s="84"/>
      <c r="L73" s="84"/>
      <c r="M73" s="84"/>
      <c r="N73" s="84"/>
    </row>
    <row r="74" spans="1:14" s="9" customFormat="1" ht="16.5" customHeight="1" ns3:dyDescent="0.15">
      <c r="A74" s="153"/>
      <c r="B74" s="153"/>
      <c r="C74" s="153"/>
      <c r="D74" s="153"/>
      <c r="E74" s="155" t="s">
        <v>237</v>
      </c>
      <c r="F74" s="153"/>
      <c r="G74" s="153"/>
      <c r="H74" s="153"/>
      <c r="I74" s="153"/>
      <c r="J74" s="84"/>
      <c r="K74" s="84"/>
      <c r="L74" s="84"/>
      <c r="M74" s="84"/>
      <c r="N74" s="84"/>
    </row>
    <row r="75" spans="1:14" ht="12.75" customHeight="1" ns3:dyDescent="0.15">
      <c r="A75" s="153"/>
      <c r="B75" s="153"/>
      <c r="C75" s="153"/>
      <c r="D75" s="153"/>
      <c r="E75" s="153" t="s">
        <v>238</v>
      </c>
      <c r="F75" s="153"/>
      <c r="G75" s="153"/>
      <c r="H75" s="153"/>
      <c r="I75" s="153"/>
      <c r="J75" s="84"/>
      <c r="K75" s="84"/>
      <c r="L75" s="84"/>
      <c r="M75" s="84"/>
      <c r="N75" s="84"/>
    </row>
    <row r="76" spans="1:14" s="9" customFormat="1" ht="17.25" customHeight="1" ns3:dyDescent="0.15">
      <c r="A76" s="153"/>
      <c r="B76" s="153"/>
      <c r="C76" s="153"/>
      <c r="D76" s="153"/>
      <c r="E76" s="155" t="s">
        <v>239</v>
      </c>
      <c r="F76" s="153"/>
      <c r="G76" s="153"/>
      <c r="H76" s="153"/>
      <c r="I76" s="153"/>
      <c r="J76" s="84"/>
      <c r="K76" s="84"/>
      <c r="L76" s="84"/>
      <c r="M76" s="84"/>
      <c r="N76" s="84"/>
    </row>
    <row r="77" spans="1:14" ht="12.75" customHeight="1" ns3:dyDescent="0.15">
      <c r="A77" s="153"/>
      <c r="B77" s="153"/>
      <c r="C77" s="153"/>
      <c r="D77" s="153"/>
      <c r="E77" s="153" t="s">
        <v>240</v>
      </c>
      <c r="F77" s="153"/>
      <c r="G77" s="153"/>
      <c r="H77" s="153"/>
      <c r="I77" s="153"/>
      <c r="J77" s="84"/>
      <c r="K77" s="84"/>
      <c r="L77" s="84"/>
      <c r="M77" s="84"/>
      <c r="N77" s="84"/>
    </row>
    <row r="78" spans="1:14" ht="12.75" customHeight="1" ns3:dyDescent="0.15">
      <c r="A78" s="153"/>
      <c r="B78" s="153"/>
      <c r="C78" s="153"/>
      <c r="D78" s="153"/>
      <c r="E78" s="153" t="s">
        <v>241</v>
      </c>
      <c r="F78" s="153"/>
      <c r="G78" s="153"/>
      <c r="H78" s="153"/>
      <c r="I78" s="153"/>
      <c r="J78" s="84"/>
      <c r="K78" s="84"/>
      <c r="L78" s="84"/>
      <c r="M78" s="84"/>
      <c r="N78" s="84"/>
    </row>
    <row r="79" spans="1:14" s="9" customFormat="1" ht="16.5" customHeight="1" ns3:dyDescent="0.15">
      <c r="A79" s="153"/>
      <c r="B79" s="153"/>
      <c r="C79" s="153"/>
      <c r="D79" s="153"/>
      <c r="E79" s="155" t="s">
        <v>242</v>
      </c>
      <c r="F79" s="153"/>
      <c r="G79" s="153"/>
      <c r="H79" s="153"/>
      <c r="I79" s="153"/>
      <c r="J79" s="84"/>
      <c r="K79" s="84"/>
      <c r="L79" s="84"/>
      <c r="M79" s="84"/>
      <c r="N79" s="84"/>
    </row>
    <row r="80" spans="1:14" s="9" customFormat="1" ht="31.5" customHeight="1" ns3:dyDescent="0.15">
      <c r="A80" s="153"/>
      <c r="B80" s="153"/>
      <c r="C80" s="153"/>
      <c r="D80" s="153"/>
      <c r="E80" s="261" t="s">
        <v>243</v>
      </c>
      <c r="F80" s="261"/>
      <c r="G80" s="261"/>
      <c r="H80" s="261"/>
      <c r="I80" s="261"/>
      <c r="J80" s="84"/>
      <c r="K80" s="84"/>
      <c r="L80" s="84"/>
      <c r="M80" s="84"/>
      <c r="N80" s="84"/>
    </row>
    <row r="81" spans="1:15" ht="12.75" customHeight="1" ns3:dyDescent="0.15">
      <c r="A81" s="153"/>
      <c r="B81" s="153"/>
      <c r="C81" s="153"/>
      <c r="D81" s="153"/>
      <c r="E81" s="154" t="s">
        <v>244</v>
      </c>
      <c r="F81" s="154"/>
      <c r="G81" s="153"/>
      <c r="H81" s="153"/>
      <c r="I81" s="153"/>
      <c r="J81" s="84"/>
      <c r="K81" s="84"/>
      <c r="L81" s="84"/>
      <c r="M81" s="84"/>
      <c r="N81" s="84"/>
    </row>
    <row r="82" spans="1:15" ht="12.75" customHeight="1" ns3:dyDescent="0.15">
      <c r="A82" s="153"/>
      <c r="B82" s="153"/>
      <c r="C82" s="153"/>
      <c r="D82" s="153"/>
      <c r="E82" s="153" t="s">
        <v>245</v>
      </c>
      <c r="F82" s="153"/>
      <c r="G82" s="153"/>
      <c r="H82" s="153"/>
      <c r="I82" s="153"/>
      <c r="J82" s="84"/>
      <c r="K82" s="84"/>
      <c r="L82" s="84"/>
      <c r="M82" s="84"/>
      <c r="N82" s="84"/>
    </row>
    <row r="83" spans="1:15" ht="12.75" customHeight="1" ns3:dyDescent="0.15">
      <c r="A83" s="153"/>
      <c r="B83" s="153"/>
      <c r="C83" s="153"/>
      <c r="D83" s="153"/>
      <c r="E83" s="153" t="s">
        <v>246</v>
      </c>
      <c r="F83" s="153"/>
      <c r="G83" s="153"/>
      <c r="H83" s="153"/>
      <c r="I83" s="153"/>
      <c r="J83" s="84"/>
      <c r="K83" s="84"/>
      <c r="L83" s="84"/>
      <c r="M83" s="84"/>
      <c r="N83" s="84"/>
    </row>
    <row r="84" spans="1:15" s="9" customFormat="1" ht="16.5" customHeight="1" ns3:dyDescent="0.15">
      <c r="A84" s="153"/>
      <c r="B84" s="153"/>
      <c r="C84" s="153"/>
      <c r="D84" s="153"/>
      <c r="E84" s="153" t="s">
        <v>247</v>
      </c>
      <c r="F84" s="153"/>
      <c r="G84" s="153"/>
      <c r="H84" s="153"/>
      <c r="I84" s="153"/>
      <c r="J84" s="84"/>
      <c r="K84" s="84"/>
      <c r="L84" s="84"/>
      <c r="M84" s="84"/>
      <c r="N84" s="84"/>
    </row>
    <row r="85" spans="1:15" ht="12.75" customHeight="1" ns3:dyDescent="0.15">
      <c r="A85" s="153"/>
      <c r="B85" s="153"/>
      <c r="C85" s="153"/>
      <c r="D85" s="153"/>
      <c r="E85" s="155" t="s">
        <v>248</v>
      </c>
      <c r="F85" s="155"/>
      <c r="G85" s="155"/>
      <c r="H85" s="155"/>
      <c r="I85" s="155"/>
      <c r="J85" s="84"/>
      <c r="K85" s="84"/>
      <c r="L85" s="84"/>
      <c r="M85" s="84"/>
      <c r="N85" s="84"/>
    </row>
    <row r="86" spans="1:15" ht="12.75" customHeight="1" ns3:dyDescent="0.15">
      <c r="A86" s="153"/>
      <c r="B86" s="153"/>
      <c r="C86" s="153"/>
      <c r="D86" s="153"/>
      <c r="E86" s="153" t="s">
        <v>249</v>
      </c>
      <c r="F86" s="153"/>
      <c r="G86" s="153"/>
      <c r="H86" s="153"/>
      <c r="I86" s="153"/>
      <c r="J86" s="84"/>
      <c r="K86" s="84"/>
      <c r="L86" s="84"/>
      <c r="M86" s="84"/>
      <c r="N86" s="84"/>
    </row>
    <row r="87" spans="1:15" ht="12.75" customHeight="1" ns3:dyDescent="0.15">
      <c r="A87" s="153"/>
      <c r="B87" s="153"/>
      <c r="C87" s="153"/>
      <c r="D87" s="153"/>
      <c r="E87" s="153" t="s">
        <v>250</v>
      </c>
      <c r="F87" s="153"/>
      <c r="G87" s="153"/>
      <c r="H87" s="153"/>
      <c r="I87" s="153"/>
      <c r="J87" s="84"/>
      <c r="K87" s="84"/>
      <c r="L87" s="84"/>
      <c r="M87" s="84"/>
      <c r="N87" s="84"/>
    </row>
    <row r="88" spans="1:15" ht="12.75" customHeight="1" ns3:dyDescent="0.15">
      <c r="A88" s="153"/>
      <c r="B88" s="153"/>
      <c r="C88" s="153"/>
      <c r="D88" s="153"/>
      <c r="E88" s="153" t="s">
        <v>251</v>
      </c>
      <c r="F88" s="153"/>
      <c r="G88" s="153"/>
      <c r="H88" s="153"/>
      <c r="I88" s="153"/>
      <c r="J88" s="84"/>
      <c r="K88" s="84"/>
      <c r="L88" s="84"/>
      <c r="M88" s="84"/>
      <c r="N88" s="84"/>
    </row>
    <row r="89" spans="1:15" ht="12.75" customHeight="1" ns3:dyDescent="0.15">
      <c r="A89" s="153"/>
      <c r="B89" s="153"/>
      <c r="C89" s="153"/>
      <c r="D89" s="153"/>
      <c r="E89" s="153" t="s">
        <v>252</v>
      </c>
      <c r="F89" s="153"/>
      <c r="G89" s="153"/>
      <c r="H89" s="153"/>
      <c r="I89" s="153"/>
      <c r="J89" s="84"/>
      <c r="K89" s="84"/>
      <c r="L89" s="84"/>
      <c r="M89" s="84"/>
      <c r="N89" s="84"/>
    </row>
    <row r="90" spans="1:15" ht="12.75" customHeight="1" ns3:dyDescent="0.15">
      <c r="A90" s="153"/>
      <c r="B90" s="153"/>
      <c r="C90" s="153"/>
      <c r="D90" s="153"/>
      <c r="E90" s="153" t="s">
        <v>253</v>
      </c>
      <c r="F90" s="153"/>
      <c r="G90" s="153"/>
      <c r="H90" s="153"/>
      <c r="I90" s="153"/>
      <c r="J90" s="84"/>
      <c r="K90" s="84"/>
      <c r="L90" s="84"/>
      <c r="M90" s="84"/>
      <c r="N90" s="84"/>
    </row>
    <row r="94" spans="1:15" ht="12.75" customHeight="1" ns3:dyDescent="0.15">
      <c r="B94" s="8"/>
      <c r="C94" s="8"/>
    </row>
    <row r="95" spans="1:15" ht="12.75" customHeight="1" ns3:dyDescent="0.15">
      <c r="B95" s="8"/>
      <c r="C95" s="8"/>
      <c r="K95" s="8"/>
      <c r="L95" s="8"/>
      <c r="M95" s="8"/>
      <c r="N95" s="8"/>
      <c r="O95" s="8"/>
    </row>
    <row r="96" spans="1:15" ht="12.75" customHeight="1" ns3:dyDescent="0.15">
      <c r="B96" s="8"/>
      <c r="C96" s="8"/>
      <c r="D96" s="8"/>
      <c r="K96" s="8"/>
      <c r="L96" s="8"/>
      <c r="M96" s="8"/>
      <c r="N96" s="8"/>
      <c r="O96" s="8"/>
    </row>
    <row r="97" spans="2:15" ht="12.75" customHeight="1" ns3:dyDescent="0.1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2:15" ht="12.75" customHeight="1" ns3:dyDescent="0.1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2:15" ht="12.75" customHeight="1" ns3:dyDescent="0.1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2:15" ht="12.75" customHeight="1" ns3:dyDescent="0.1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</sheetData>
  <mergeCells count="22">
    <mergeCell ref="A1:J3"/>
    <mergeCell ref="I19:K19"/>
    <mergeCell ref="B17:N17"/>
    <mergeCell ref="J29:M30"/>
    <mergeCell ref="J44:K44"/>
    <mergeCell ref="J28:N28"/>
    <mergeCell ref="B19:G19"/>
    <mergeCell ref="G38:H38"/>
    <mergeCell ref="B31:E31"/>
    <mergeCell ref="E80:I80"/>
    <mergeCell ref="G35:G36"/>
    <mergeCell ref="J47:K47"/>
    <mergeCell ref="F43:G43"/>
    <mergeCell ref="E42:G42"/>
    <mergeCell ref="J43:K43"/>
    <mergeCell ref="J46:K46"/>
    <mergeCell ref="E49:K49"/>
    <mergeCell ref="H35:H36"/>
    <mergeCell ref="E50:K50"/>
    <mergeCell ref="G37:H37"/>
    <mergeCell ref="J45:K45"/>
    <mergeCell ref="J48:K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CONTROLE LANCAMENTOS</vt:lpstr>
      <vt:lpstr>PATRIMÔNIO</vt:lpstr>
      <vt:lpstr>APOSENTADORIA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Janderson</dc:creator>
  <cp:lastModifiedBy>Janderson targino costa da silva targino</cp:lastModifiedBy>
  <dcterms:created xsi:type="dcterms:W3CDTF">2026-09-26T19:34:13Z</dcterms:created>
  <dcterms:modified xsi:type="dcterms:W3CDTF">2026-09-27T02:01:41Z</dcterms:modified>
</cp:coreProperties>
</file>